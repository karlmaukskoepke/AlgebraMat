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Roster" sheetId="3" state="visible" r:id="rId3"/>
    <sheet name="Numbers" sheetId="4" state="visible" r:id="rId4"/>
    <sheet name="New students" sheetId="5" state="visible" r:id="rId5"/>
    <sheet name="Slips (all)" sheetId="6" state="visible" r:id="rId6"/>
    <sheet name="Slips (new)" sheetId="7" state="visible" r:id="rId7"/>
    <sheet name="Imported" sheetId="8" state="visible" r:id="rId8"/>
    <sheet name="Named result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b val="1"/>
      <color rgb="00C00000"/>
      <sz val="10"/>
    </font>
    <font>
      <name val="Arial"/>
      <color rgb="00000000"/>
      <sz val="10"/>
    </font>
    <font>
      <name val="Arial"/>
      <b val="1"/>
      <sz val="10"/>
    </font>
    <font>
      <name val="Arial"/>
      <color rgb="000000FF"/>
      <sz val="10"/>
    </font>
    <font>
      <name val="Arial"/>
      <i val="1"/>
      <color rgb="00666666"/>
      <sz val="10"/>
    </font>
    <font>
      <name val="Arial"/>
      <b val="1"/>
      <sz val="14"/>
    </font>
    <font>
      <name val="Arial"/>
      <b val="1"/>
      <sz val="13"/>
    </font>
    <font>
      <name val="Arial"/>
      <sz val="10"/>
    </font>
    <font>
      <name val="Arial"/>
      <sz val="6"/>
    </font>
  </fonts>
  <fills count="4">
    <fill>
      <patternFill/>
    </fill>
    <fill>
      <patternFill patternType="gray125"/>
    </fill>
    <fill>
      <patternFill patternType="solid">
        <fgColor rgb="00FFF2CC"/>
      </patternFill>
    </fill>
    <fill>
      <patternFill patternType="solid">
        <fgColor rgb="00DDEBF7"/>
      </patternFill>
    </fill>
  </fills>
  <borders count="2">
    <border>
      <left/>
      <right/>
      <top/>
      <bottom/>
      <diagonal/>
    </border>
    <border>
      <bottom style="dashed">
        <color rgb="0099999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0" pivotButton="0" quotePrefix="0" xfId="0"/>
    <xf numFmtId="0" fontId="9" fillId="0" borderId="0" pivotButton="0" quotePrefix="0" xfId="0"/>
    <xf numFmtId="0" fontId="6" fillId="0" borderId="0" pivotButton="0" quotePrefix="0" xfId="0"/>
    <xf numFmtId="0" fontId="4" fillId="3" borderId="0" pivotButton="0" quotePrefix="0" xfId="0"/>
    <xf numFmtId="0" fontId="7" fillId="0" borderId="0" applyAlignment="1" pivotButton="0" quotePrefix="0" xfId="0">
      <alignment vertical="center" wrapText="1"/>
    </xf>
    <xf numFmtId="0" fontId="8" fillId="0" borderId="0" applyAlignment="1" pivotButton="0" quotePrefix="0" xfId="0">
      <alignment vertical="center" wrapText="1"/>
    </xf>
    <xf numFmtId="0" fontId="9" fillId="0" borderId="0" applyAlignment="1" pivotButton="0" quotePrefix="0" xfId="0">
      <alignment vertical="center" wrapText="1"/>
    </xf>
    <xf numFmtId="0" fontId="10" fillId="0" borderId="1" applyAlignment="1" pivotButton="0" quotePrefix="0" xfId="0">
      <alignment vertical="center" wrapText="1"/>
    </xf>
    <xf numFmtId="0" fontId="9" fillId="0" borderId="1" pivotButton="0" quotePrefix="0" xfId="0"/>
    <xf numFmtId="0" fontId="0" fillId="0" borderId="1" pivotButton="0" quotePrefix="0" xfId="0"/>
    <xf numFmtId="9" fontId="9"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The Mat: roster and student slips</t>
        </is>
      </c>
    </row>
    <row r="2">
      <c r="A2" s="2" t="inlineStr">
        <is>
          <t>KEEP THIS FILE PRIVATE. It holds student names. The Mat class sheet holds only periods and numbers (no names): this file is the only place the two meet.</t>
        </is>
      </c>
    </row>
    <row r="3">
      <c r="A3" s="3" t="inlineStr"/>
    </row>
    <row r="4">
      <c r="A4" s="3" t="inlineStr">
        <is>
          <t>This file fills itself from your master list (the file with First, Last, Period and StudentID). Setup is once; after that it is one menu click, or automatic.</t>
        </is>
      </c>
    </row>
    <row r="5">
      <c r="A5" s="3" t="inlineStr">
        <is>
          <t>1. Settings tab: paste the web address of your master list next to "Master list web address". (The tab name is already "Roster Import".)</t>
        </is>
      </c>
    </row>
    <row r="6">
      <c r="A6" s="3" t="inlineStr">
        <is>
          <t>2. Extensions &gt; Apps Script: paste in RosterSync.gs and save. Reload this sheet: a "The Mat" menu appears. The first time you use it, Google asks you to allow it: choose your account, Advanced, Go to (project), Allow.</t>
        </is>
      </c>
    </row>
    <row r="7">
      <c r="A7" s="3" t="inlineStr">
        <is>
          <t>3. The Mat &gt; Sync from my master list. The Roster, Numbers and New students tabs fill in. Every student gets a number in their period once, and keeps it for good (someone who leaves keeps theirs; a new student gets the next free number).</t>
        </is>
      </c>
    </row>
    <row r="8">
      <c r="A8" s="3" t="inlineStr">
        <is>
          <t>4. Slips (all): a slip for every current student. Slips (new): only students whose slip has not been printed. Print with File &gt; Print &gt; "Current sheet" (Letter, portrait, narrow margins, fit to width), cut on the dashed lines, then The Mat &gt; Mark the new slips as printed.</t>
        </is>
      </c>
    </row>
    <row r="9">
      <c r="A9" s="3" t="inlineStr">
        <is>
          <t>5. The Mat &gt; Turn on automatic daily sync, and new students appear on their own each morning; you only print their slip.</t>
        </is>
      </c>
    </row>
    <row r="10">
      <c r="A10" s="3" t="inlineStr">
        <is>
          <t>6. Named results (optional): paste your class sheet's web address in Settings, then on the Imported tab click cell A1 and choose Allow access (once).</t>
        </is>
      </c>
    </row>
    <row r="11">
      <c r="A11" s="3" t="inlineStr"/>
    </row>
    <row r="12">
      <c r="A12" s="3" t="inlineStr">
        <is>
          <t>Do not type in Roster, Numbers or New students: the script writes there. Yellow cells (Settings) are the ones meant for you.</t>
        </is>
      </c>
    </row>
    <row r="13">
      <c r="A13" s="3" t="inlineStr">
        <is>
          <t>Students sign in on The Mat with their school Google account and type the Period and Student number from their slip. A student who changes period gets a new number in the new period (their old one is kept); their progress follows their Google account either 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4" customWidth="1" min="1" max="1"/>
    <col width="90" customWidth="1" min="2" max="2"/>
  </cols>
  <sheetData>
    <row r="1">
      <c r="A1" s="4" t="inlineStr">
        <is>
          <t>Site address printed on the slips</t>
        </is>
      </c>
      <c r="B1" s="5" t="inlineStr">
        <is>
          <t>karlmaukskoepke.github.io/AlgebraMat</t>
        </is>
      </c>
    </row>
    <row r="2">
      <c r="A2" s="4" t="inlineStr">
        <is>
          <t>Class sheet web address (for Named results)</t>
        </is>
      </c>
      <c r="B2" s="5" t="inlineStr"/>
    </row>
    <row r="3">
      <c r="A3" s="4" t="inlineStr">
        <is>
          <t>Master list web address</t>
        </is>
      </c>
      <c r="B3" s="5" t="inlineStr"/>
    </row>
    <row r="4">
      <c r="A4" s="4" t="inlineStr">
        <is>
          <t>Master list tab</t>
        </is>
      </c>
      <c r="B4" s="5" t="inlineStr">
        <is>
          <t>Roster Import</t>
        </is>
      </c>
    </row>
    <row r="5">
      <c r="A5" s="6" t="n"/>
      <c r="B5" s="6" t="n"/>
    </row>
    <row r="6">
      <c r="A6" s="7" t="inlineStr">
        <is>
          <t>Paste each web address from the browser's address bar while that file is open. Yellow cells are the ones to edit. The master list needs First, Last, Period and StudentID in its first row.</t>
        </is>
      </c>
      <c r="B6"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6" customWidth="1" min="3" max="3"/>
    <col width="16" customWidth="1" min="4" max="4"/>
  </cols>
  <sheetData>
    <row r="1">
      <c r="A1" s="8" t="inlineStr">
        <is>
          <t>Name</t>
        </is>
      </c>
      <c r="B1" s="8" t="inlineStr">
        <is>
          <t>Period</t>
        </is>
      </c>
      <c r="C1" s="8" t="inlineStr">
        <is>
          <t>Student number</t>
        </is>
      </c>
      <c r="D1" s="8" t="inlineStr">
        <is>
          <t>StudentID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32" customWidth="1" min="4" max="4"/>
    <col width="14" customWidth="1" min="5" max="5"/>
    <col width="14" customWidth="1" min="6" max="6"/>
    <col width="10" customWidth="1" min="7" max="7"/>
  </cols>
  <sheetData>
    <row r="1">
      <c r="A1" s="8" t="inlineStr">
        <is>
          <t>StudentID</t>
        </is>
      </c>
      <c r="B1" s="8" t="inlineStr">
        <is>
          <t>Period</t>
        </is>
      </c>
      <c r="C1" s="8" t="inlineStr">
        <is>
          <t>Number</t>
        </is>
      </c>
      <c r="D1" s="8" t="inlineStr">
        <is>
          <t>Name</t>
        </is>
      </c>
      <c r="E1" s="8" t="inlineStr">
        <is>
          <t>FirstSeen</t>
        </is>
      </c>
      <c r="F1" s="8" t="inlineStr">
        <is>
          <t>Printed</t>
        </is>
      </c>
      <c r="G1" s="8"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6" customWidth="1" min="3" max="3"/>
    <col width="16" customWidth="1" min="4" max="4"/>
  </cols>
  <sheetData>
    <row r="1">
      <c r="A1" s="8" t="inlineStr">
        <is>
          <t>Name</t>
        </is>
      </c>
      <c r="B1" s="8" t="inlineStr">
        <is>
          <t>Period</t>
        </is>
      </c>
      <c r="C1" s="8" t="inlineStr">
        <is>
          <t>Student number</t>
        </is>
      </c>
      <c r="D1" s="8" t="inlineStr">
        <is>
          <t>StudentID</t>
        </is>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G375"/>
  <sheetViews>
    <sheetView workbookViewId="0">
      <selection activeCell="A1" sqref="A1"/>
    </sheetView>
  </sheetViews>
  <sheetFormatPr baseColWidth="8" defaultRowHeight="15"/>
  <cols>
    <col width="22" customWidth="1" min="1" max="1"/>
    <col width="10" customWidth="1" min="2" max="2"/>
    <col width="14" customWidth="1" min="3" max="3"/>
    <col width="3" customWidth="1" min="4" max="4"/>
    <col width="22" customWidth="1" min="5" max="5"/>
    <col width="10" customWidth="1" min="6" max="6"/>
    <col width="14" customWidth="1" min="7" max="7"/>
  </cols>
  <sheetData>
    <row r="1" ht="24" customHeight="1">
      <c r="A1" s="9">
        <f>IF(Roster!A2="","",Roster!A2)</f>
        <v/>
      </c>
      <c r="E1" s="9">
        <f>IF(Roster!A3="","",Roster!A3)</f>
        <v/>
      </c>
    </row>
    <row r="2" ht="24" customHeight="1">
      <c r="A2" s="10">
        <f>IF(Roster!A2="","","Period "&amp;Roster!B2&amp;"   ·   Student number "&amp;Roster!C2)</f>
        <v/>
      </c>
      <c r="B2" s="6" t="n"/>
      <c r="C2" s="6" t="n"/>
      <c r="D2" s="6" t="n"/>
      <c r="E2" s="10">
        <f>IF(Roster!A3="","","Period "&amp;Roster!B3&amp;"   ·   Student number "&amp;Roster!C3)</f>
        <v/>
      </c>
      <c r="F2" s="6" t="n"/>
      <c r="G2" s="6" t="n"/>
    </row>
    <row r="3" ht="18" customHeight="1">
      <c r="A3" s="11">
        <f>IF(Roster!A2="","","Open: "&amp;Settings!$B$1)</f>
        <v/>
      </c>
      <c r="B3" s="6" t="n"/>
      <c r="C3" s="6" t="n"/>
      <c r="D3" s="6" t="n"/>
      <c r="E3" s="11">
        <f>IF(Roster!A3="","","Open: "&amp;Settings!$B$1)</f>
        <v/>
      </c>
      <c r="F3" s="6" t="n"/>
      <c r="G3" s="6" t="n"/>
    </row>
    <row r="4" ht="30" customHeight="1">
      <c r="A4" s="11">
        <f>IF(Roster!A2="","","Tap Sign in, type your period and number, then sign in with your school Google account.")</f>
        <v/>
      </c>
      <c r="B4" s="6" t="n"/>
      <c r="C4" s="6" t="n"/>
      <c r="D4" s="6" t="n"/>
      <c r="E4" s="11">
        <f>IF(Roster!A3="","","Tap Sign in, type your period and number, then sign in with your school Google account.")</f>
        <v/>
      </c>
      <c r="F4" s="6" t="n"/>
      <c r="G4" s="6" t="n"/>
    </row>
    <row r="5" ht="10" customHeight="1">
      <c r="A5" s="12" t="n"/>
      <c r="B5" s="13" t="n"/>
      <c r="C5" s="13" t="n"/>
      <c r="D5" s="6" t="n"/>
      <c r="E5" s="12" t="n"/>
      <c r="F5" s="13" t="n"/>
      <c r="G5" s="13" t="n"/>
    </row>
    <row r="6" ht="24" customHeight="1">
      <c r="A6" s="9">
        <f>IF(Roster!A4="","",Roster!A4)</f>
        <v/>
      </c>
      <c r="B6" s="6" t="n"/>
      <c r="C6" s="6" t="n"/>
      <c r="D6" s="6" t="n"/>
      <c r="E6" s="9">
        <f>IF(Roster!A5="","",Roster!A5)</f>
        <v/>
      </c>
      <c r="F6" s="6" t="n"/>
      <c r="G6" s="6" t="n"/>
    </row>
    <row r="7" ht="24" customHeight="1">
      <c r="A7" s="10">
        <f>IF(Roster!A4="","","Period "&amp;Roster!B4&amp;"   ·   Student number "&amp;Roster!C4)</f>
        <v/>
      </c>
      <c r="B7" s="6" t="n"/>
      <c r="C7" s="6" t="n"/>
      <c r="D7" s="6" t="n"/>
      <c r="E7" s="10">
        <f>IF(Roster!A5="","","Period "&amp;Roster!B5&amp;"   ·   Student number "&amp;Roster!C5)</f>
        <v/>
      </c>
      <c r="F7" s="6" t="n"/>
      <c r="G7" s="6" t="n"/>
    </row>
    <row r="8" ht="18" customHeight="1">
      <c r="A8" s="11">
        <f>IF(Roster!A4="","","Open: "&amp;Settings!$B$1)</f>
        <v/>
      </c>
      <c r="B8" s="6" t="n"/>
      <c r="C8" s="6" t="n"/>
      <c r="D8" s="6" t="n"/>
      <c r="E8" s="11">
        <f>IF(Roster!A5="","","Open: "&amp;Settings!$B$1)</f>
        <v/>
      </c>
      <c r="F8" s="6" t="n"/>
      <c r="G8" s="6" t="n"/>
    </row>
    <row r="9" ht="30" customHeight="1">
      <c r="A9" s="11">
        <f>IF(Roster!A4="","","Tap Sign in, type your period and number, then sign in with your school Google account.")</f>
        <v/>
      </c>
      <c r="B9" s="6" t="n"/>
      <c r="C9" s="6" t="n"/>
      <c r="D9" s="6" t="n"/>
      <c r="E9" s="11">
        <f>IF(Roster!A5="","","Tap Sign in, type your period and number, then sign in with your school Google account.")</f>
        <v/>
      </c>
      <c r="F9" s="6" t="n"/>
      <c r="G9" s="6" t="n"/>
    </row>
    <row r="10" ht="10" customHeight="1">
      <c r="A10" s="12" t="n"/>
      <c r="B10" s="13" t="n"/>
      <c r="C10" s="13" t="n"/>
      <c r="D10" s="6" t="n"/>
      <c r="E10" s="12" t="n"/>
      <c r="F10" s="13" t="n"/>
      <c r="G10" s="13" t="n"/>
    </row>
    <row r="11" ht="24" customHeight="1">
      <c r="A11" s="9">
        <f>IF(Roster!A6="","",Roster!A6)</f>
        <v/>
      </c>
      <c r="B11" s="6" t="n"/>
      <c r="C11" s="6" t="n"/>
      <c r="D11" s="6" t="n"/>
      <c r="E11" s="9">
        <f>IF(Roster!A7="","",Roster!A7)</f>
        <v/>
      </c>
      <c r="F11" s="6" t="n"/>
      <c r="G11" s="6" t="n"/>
    </row>
    <row r="12" ht="24" customHeight="1">
      <c r="A12" s="10">
        <f>IF(Roster!A6="","","Period "&amp;Roster!B6&amp;"   ·   Student number "&amp;Roster!C6)</f>
        <v/>
      </c>
      <c r="B12" s="6" t="n"/>
      <c r="C12" s="6" t="n"/>
      <c r="D12" s="6" t="n"/>
      <c r="E12" s="10">
        <f>IF(Roster!A7="","","Period "&amp;Roster!B7&amp;"   ·   Student number "&amp;Roster!C7)</f>
        <v/>
      </c>
      <c r="F12" s="6" t="n"/>
      <c r="G12" s="6" t="n"/>
    </row>
    <row r="13" ht="18" customHeight="1">
      <c r="A13" s="11">
        <f>IF(Roster!A6="","","Open: "&amp;Settings!$B$1)</f>
        <v/>
      </c>
      <c r="B13" s="6" t="n"/>
      <c r="C13" s="6" t="n"/>
      <c r="D13" s="6" t="n"/>
      <c r="E13" s="11">
        <f>IF(Roster!A7="","","Open: "&amp;Settings!$B$1)</f>
        <v/>
      </c>
      <c r="F13" s="6" t="n"/>
      <c r="G13" s="6" t="n"/>
    </row>
    <row r="14" ht="30" customHeight="1">
      <c r="A14" s="11">
        <f>IF(Roster!A6="","","Tap Sign in, type your period and number, then sign in with your school Google account.")</f>
        <v/>
      </c>
      <c r="B14" s="6" t="n"/>
      <c r="C14" s="6" t="n"/>
      <c r="D14" s="6" t="n"/>
      <c r="E14" s="11">
        <f>IF(Roster!A7="","","Tap Sign in, type your period and number, then sign in with your school Google account.")</f>
        <v/>
      </c>
      <c r="F14" s="6" t="n"/>
      <c r="G14" s="6" t="n"/>
    </row>
    <row r="15" ht="10" customHeight="1">
      <c r="A15" s="12" t="n"/>
      <c r="B15" s="13" t="n"/>
      <c r="C15" s="13" t="n"/>
      <c r="D15" s="6" t="n"/>
      <c r="E15" s="12" t="n"/>
      <c r="F15" s="13" t="n"/>
      <c r="G15" s="13" t="n"/>
    </row>
    <row r="16" ht="24" customHeight="1">
      <c r="A16" s="9">
        <f>IF(Roster!A8="","",Roster!A8)</f>
        <v/>
      </c>
      <c r="B16" s="6" t="n"/>
      <c r="C16" s="6" t="n"/>
      <c r="D16" s="6" t="n"/>
      <c r="E16" s="9">
        <f>IF(Roster!A9="","",Roster!A9)</f>
        <v/>
      </c>
      <c r="F16" s="6" t="n"/>
      <c r="G16" s="6" t="n"/>
    </row>
    <row r="17" ht="24" customHeight="1">
      <c r="A17" s="10">
        <f>IF(Roster!A8="","","Period "&amp;Roster!B8&amp;"   ·   Student number "&amp;Roster!C8)</f>
        <v/>
      </c>
      <c r="B17" s="6" t="n"/>
      <c r="C17" s="6" t="n"/>
      <c r="D17" s="6" t="n"/>
      <c r="E17" s="10">
        <f>IF(Roster!A9="","","Period "&amp;Roster!B9&amp;"   ·   Student number "&amp;Roster!C9)</f>
        <v/>
      </c>
      <c r="F17" s="6" t="n"/>
      <c r="G17" s="6" t="n"/>
    </row>
    <row r="18" ht="18" customHeight="1">
      <c r="A18" s="11">
        <f>IF(Roster!A8="","","Open: "&amp;Settings!$B$1)</f>
        <v/>
      </c>
      <c r="B18" s="6" t="n"/>
      <c r="C18" s="6" t="n"/>
      <c r="D18" s="6" t="n"/>
      <c r="E18" s="11">
        <f>IF(Roster!A9="","","Open: "&amp;Settings!$B$1)</f>
        <v/>
      </c>
      <c r="F18" s="6" t="n"/>
      <c r="G18" s="6" t="n"/>
    </row>
    <row r="19" ht="30" customHeight="1">
      <c r="A19" s="11">
        <f>IF(Roster!A8="","","Tap Sign in, type your period and number, then sign in with your school Google account.")</f>
        <v/>
      </c>
      <c r="B19" s="6" t="n"/>
      <c r="C19" s="6" t="n"/>
      <c r="D19" s="6" t="n"/>
      <c r="E19" s="11">
        <f>IF(Roster!A9="","","Tap Sign in, type your period and number, then sign in with your school Google account.")</f>
        <v/>
      </c>
      <c r="F19" s="6" t="n"/>
      <c r="G19" s="6" t="n"/>
    </row>
    <row r="20" ht="10" customHeight="1">
      <c r="A20" s="12" t="n"/>
      <c r="B20" s="13" t="n"/>
      <c r="C20" s="13" t="n"/>
      <c r="D20" s="6" t="n"/>
      <c r="E20" s="12" t="n"/>
      <c r="F20" s="13" t="n"/>
      <c r="G20" s="13" t="n"/>
    </row>
    <row r="21" ht="24" customHeight="1">
      <c r="A21" s="9">
        <f>IF(Roster!A10="","",Roster!A10)</f>
        <v/>
      </c>
      <c r="B21" s="6" t="n"/>
      <c r="C21" s="6" t="n"/>
      <c r="D21" s="6" t="n"/>
      <c r="E21" s="9">
        <f>IF(Roster!A11="","",Roster!A11)</f>
        <v/>
      </c>
      <c r="F21" s="6" t="n"/>
      <c r="G21" s="6" t="n"/>
    </row>
    <row r="22" ht="24" customHeight="1">
      <c r="A22" s="10">
        <f>IF(Roster!A10="","","Period "&amp;Roster!B10&amp;"   ·   Student number "&amp;Roster!C10)</f>
        <v/>
      </c>
      <c r="B22" s="6" t="n"/>
      <c r="C22" s="6" t="n"/>
      <c r="D22" s="6" t="n"/>
      <c r="E22" s="10">
        <f>IF(Roster!A11="","","Period "&amp;Roster!B11&amp;"   ·   Student number "&amp;Roster!C11)</f>
        <v/>
      </c>
      <c r="F22" s="6" t="n"/>
      <c r="G22" s="6" t="n"/>
    </row>
    <row r="23" ht="18" customHeight="1">
      <c r="A23" s="11">
        <f>IF(Roster!A10="","","Open: "&amp;Settings!$B$1)</f>
        <v/>
      </c>
      <c r="B23" s="6" t="n"/>
      <c r="C23" s="6" t="n"/>
      <c r="D23" s="6" t="n"/>
      <c r="E23" s="11">
        <f>IF(Roster!A11="","","Open: "&amp;Settings!$B$1)</f>
        <v/>
      </c>
      <c r="F23" s="6" t="n"/>
      <c r="G23" s="6" t="n"/>
    </row>
    <row r="24" ht="30" customHeight="1">
      <c r="A24" s="11">
        <f>IF(Roster!A10="","","Tap Sign in, type your period and number, then sign in with your school Google account.")</f>
        <v/>
      </c>
      <c r="B24" s="6" t="n"/>
      <c r="C24" s="6" t="n"/>
      <c r="D24" s="6" t="n"/>
      <c r="E24" s="11">
        <f>IF(Roster!A11="","","Tap Sign in, type your period and number, then sign in with your school Google account.")</f>
        <v/>
      </c>
      <c r="F24" s="6" t="n"/>
      <c r="G24" s="6" t="n"/>
    </row>
    <row r="25" ht="10" customHeight="1">
      <c r="A25" s="12" t="n"/>
      <c r="B25" s="13" t="n"/>
      <c r="C25" s="13" t="n"/>
      <c r="D25" s="6" t="n"/>
      <c r="E25" s="12" t="n"/>
      <c r="F25" s="13" t="n"/>
      <c r="G25" s="13" t="n"/>
    </row>
    <row r="26" ht="24" customHeight="1">
      <c r="A26" s="9">
        <f>IF(Roster!A12="","",Roster!A12)</f>
        <v/>
      </c>
      <c r="B26" s="6" t="n"/>
      <c r="C26" s="6" t="n"/>
      <c r="D26" s="6" t="n"/>
      <c r="E26" s="9">
        <f>IF(Roster!A13="","",Roster!A13)</f>
        <v/>
      </c>
      <c r="F26" s="6" t="n"/>
      <c r="G26" s="6" t="n"/>
    </row>
    <row r="27" ht="24" customHeight="1">
      <c r="A27" s="10">
        <f>IF(Roster!A12="","","Period "&amp;Roster!B12&amp;"   ·   Student number "&amp;Roster!C12)</f>
        <v/>
      </c>
      <c r="B27" s="6" t="n"/>
      <c r="C27" s="6" t="n"/>
      <c r="D27" s="6" t="n"/>
      <c r="E27" s="10">
        <f>IF(Roster!A13="","","Period "&amp;Roster!B13&amp;"   ·   Student number "&amp;Roster!C13)</f>
        <v/>
      </c>
      <c r="F27" s="6" t="n"/>
      <c r="G27" s="6" t="n"/>
    </row>
    <row r="28" ht="18" customHeight="1">
      <c r="A28" s="11">
        <f>IF(Roster!A12="","","Open: "&amp;Settings!$B$1)</f>
        <v/>
      </c>
      <c r="B28" s="6" t="n"/>
      <c r="C28" s="6" t="n"/>
      <c r="D28" s="6" t="n"/>
      <c r="E28" s="11">
        <f>IF(Roster!A13="","","Open: "&amp;Settings!$B$1)</f>
        <v/>
      </c>
      <c r="F28" s="6" t="n"/>
      <c r="G28" s="6" t="n"/>
    </row>
    <row r="29" ht="30" customHeight="1">
      <c r="A29" s="11">
        <f>IF(Roster!A12="","","Tap Sign in, type your period and number, then sign in with your school Google account.")</f>
        <v/>
      </c>
      <c r="B29" s="6" t="n"/>
      <c r="C29" s="6" t="n"/>
      <c r="D29" s="6" t="n"/>
      <c r="E29" s="11">
        <f>IF(Roster!A13="","","Tap Sign in, type your period and number, then sign in with your school Google account.")</f>
        <v/>
      </c>
      <c r="F29" s="6" t="n"/>
      <c r="G29" s="6" t="n"/>
    </row>
    <row r="30" ht="10" customHeight="1">
      <c r="A30" s="12" t="n"/>
      <c r="B30" s="13" t="n"/>
      <c r="C30" s="13" t="n"/>
      <c r="D30" s="6" t="n"/>
      <c r="E30" s="12" t="n"/>
      <c r="F30" s="13" t="n"/>
      <c r="G30" s="13" t="n"/>
    </row>
    <row r="31" ht="24" customHeight="1">
      <c r="A31" s="9">
        <f>IF(Roster!A14="","",Roster!A14)</f>
        <v/>
      </c>
      <c r="B31" s="6" t="n"/>
      <c r="C31" s="6" t="n"/>
      <c r="D31" s="6" t="n"/>
      <c r="E31" s="9">
        <f>IF(Roster!A15="","",Roster!A15)</f>
        <v/>
      </c>
      <c r="F31" s="6" t="n"/>
      <c r="G31" s="6" t="n"/>
    </row>
    <row r="32" ht="24" customHeight="1">
      <c r="A32" s="10">
        <f>IF(Roster!A14="","","Period "&amp;Roster!B14&amp;"   ·   Student number "&amp;Roster!C14)</f>
        <v/>
      </c>
      <c r="B32" s="6" t="n"/>
      <c r="C32" s="6" t="n"/>
      <c r="D32" s="6" t="n"/>
      <c r="E32" s="10">
        <f>IF(Roster!A15="","","Period "&amp;Roster!B15&amp;"   ·   Student number "&amp;Roster!C15)</f>
        <v/>
      </c>
      <c r="F32" s="6" t="n"/>
      <c r="G32" s="6" t="n"/>
    </row>
    <row r="33" ht="18" customHeight="1">
      <c r="A33" s="11">
        <f>IF(Roster!A14="","","Open: "&amp;Settings!$B$1)</f>
        <v/>
      </c>
      <c r="B33" s="6" t="n"/>
      <c r="C33" s="6" t="n"/>
      <c r="D33" s="6" t="n"/>
      <c r="E33" s="11">
        <f>IF(Roster!A15="","","Open: "&amp;Settings!$B$1)</f>
        <v/>
      </c>
      <c r="F33" s="6" t="n"/>
      <c r="G33" s="6" t="n"/>
    </row>
    <row r="34" ht="30" customHeight="1">
      <c r="A34" s="11">
        <f>IF(Roster!A14="","","Tap Sign in, type your period and number, then sign in with your school Google account.")</f>
        <v/>
      </c>
      <c r="B34" s="6" t="n"/>
      <c r="C34" s="6" t="n"/>
      <c r="D34" s="6" t="n"/>
      <c r="E34" s="11">
        <f>IF(Roster!A15="","","Tap Sign in, type your period and number, then sign in with your school Google account.")</f>
        <v/>
      </c>
      <c r="F34" s="6" t="n"/>
      <c r="G34" s="6" t="n"/>
    </row>
    <row r="35" ht="10" customHeight="1">
      <c r="A35" s="12" t="n"/>
      <c r="B35" s="13" t="n"/>
      <c r="C35" s="13" t="n"/>
      <c r="D35" s="6" t="n"/>
      <c r="E35" s="12" t="n"/>
      <c r="F35" s="13" t="n"/>
      <c r="G35" s="13" t="n"/>
    </row>
    <row r="36" ht="24" customHeight="1">
      <c r="A36" s="9">
        <f>IF(Roster!A16="","",Roster!A16)</f>
        <v/>
      </c>
      <c r="B36" s="6" t="n"/>
      <c r="C36" s="6" t="n"/>
      <c r="D36" s="6" t="n"/>
      <c r="E36" s="9">
        <f>IF(Roster!A17="","",Roster!A17)</f>
        <v/>
      </c>
      <c r="F36" s="6" t="n"/>
      <c r="G36" s="6" t="n"/>
    </row>
    <row r="37" ht="24" customHeight="1">
      <c r="A37" s="10">
        <f>IF(Roster!A16="","","Period "&amp;Roster!B16&amp;"   ·   Student number "&amp;Roster!C16)</f>
        <v/>
      </c>
      <c r="B37" s="6" t="n"/>
      <c r="C37" s="6" t="n"/>
      <c r="D37" s="6" t="n"/>
      <c r="E37" s="10">
        <f>IF(Roster!A17="","","Period "&amp;Roster!B17&amp;"   ·   Student number "&amp;Roster!C17)</f>
        <v/>
      </c>
      <c r="F37" s="6" t="n"/>
      <c r="G37" s="6" t="n"/>
    </row>
    <row r="38" ht="18" customHeight="1">
      <c r="A38" s="11">
        <f>IF(Roster!A16="","","Open: "&amp;Settings!$B$1)</f>
        <v/>
      </c>
      <c r="B38" s="6" t="n"/>
      <c r="C38" s="6" t="n"/>
      <c r="D38" s="6" t="n"/>
      <c r="E38" s="11">
        <f>IF(Roster!A17="","","Open: "&amp;Settings!$B$1)</f>
        <v/>
      </c>
      <c r="F38" s="6" t="n"/>
      <c r="G38" s="6" t="n"/>
    </row>
    <row r="39" ht="30" customHeight="1">
      <c r="A39" s="11">
        <f>IF(Roster!A16="","","Tap Sign in, type your period and number, then sign in with your school Google account.")</f>
        <v/>
      </c>
      <c r="B39" s="6" t="n"/>
      <c r="C39" s="6" t="n"/>
      <c r="D39" s="6" t="n"/>
      <c r="E39" s="11">
        <f>IF(Roster!A17="","","Tap Sign in, type your period and number, then sign in with your school Google account.")</f>
        <v/>
      </c>
      <c r="F39" s="6" t="n"/>
      <c r="G39" s="6" t="n"/>
    </row>
    <row r="40" ht="10" customHeight="1">
      <c r="A40" s="12" t="n"/>
      <c r="B40" s="13" t="n"/>
      <c r="C40" s="13" t="n"/>
      <c r="D40" s="6" t="n"/>
      <c r="E40" s="12" t="n"/>
      <c r="F40" s="13" t="n"/>
      <c r="G40" s="13" t="n"/>
    </row>
    <row r="41" ht="24" customHeight="1">
      <c r="A41" s="9">
        <f>IF(Roster!A18="","",Roster!A18)</f>
        <v/>
      </c>
      <c r="E41" s="9">
        <f>IF(Roster!A19="","",Roster!A19)</f>
        <v/>
      </c>
    </row>
    <row r="42" ht="24" customHeight="1">
      <c r="A42" s="10">
        <f>IF(Roster!A18="","","Period "&amp;Roster!B18&amp;"   ·   Student number "&amp;Roster!C18)</f>
        <v/>
      </c>
      <c r="E42" s="10">
        <f>IF(Roster!A19="","","Period "&amp;Roster!B19&amp;"   ·   Student number "&amp;Roster!C19)</f>
        <v/>
      </c>
    </row>
    <row r="43" ht="18" customHeight="1">
      <c r="A43" s="11">
        <f>IF(Roster!A18="","","Open: "&amp;Settings!$B$1)</f>
        <v/>
      </c>
      <c r="E43" s="11">
        <f>IF(Roster!A19="","","Open: "&amp;Settings!$B$1)</f>
        <v/>
      </c>
    </row>
    <row r="44" ht="30" customHeight="1">
      <c r="A44" s="11">
        <f>IF(Roster!A18="","","Tap Sign in, type your period and number, then sign in with your school Google account.")</f>
        <v/>
      </c>
      <c r="E44" s="11">
        <f>IF(Roster!A19="","","Tap Sign in, type your period and number, then sign in with your school Google account.")</f>
        <v/>
      </c>
    </row>
    <row r="45" ht="10" customHeight="1">
      <c r="A45" s="12" t="n"/>
      <c r="B45" s="14" t="n"/>
      <c r="C45" s="14" t="n"/>
      <c r="E45" s="12" t="n"/>
      <c r="F45" s="14" t="n"/>
      <c r="G45" s="14" t="n"/>
    </row>
    <row r="46" ht="24" customHeight="1">
      <c r="A46" s="9">
        <f>IF(Roster!A20="","",Roster!A20)</f>
        <v/>
      </c>
      <c r="E46" s="9">
        <f>IF(Roster!A21="","",Roster!A21)</f>
        <v/>
      </c>
    </row>
    <row r="47" ht="24" customHeight="1">
      <c r="A47" s="10">
        <f>IF(Roster!A20="","","Period "&amp;Roster!B20&amp;"   ·   Student number "&amp;Roster!C20)</f>
        <v/>
      </c>
      <c r="E47" s="10">
        <f>IF(Roster!A21="","","Period "&amp;Roster!B21&amp;"   ·   Student number "&amp;Roster!C21)</f>
        <v/>
      </c>
    </row>
    <row r="48" ht="18" customHeight="1">
      <c r="A48" s="11">
        <f>IF(Roster!A20="","","Open: "&amp;Settings!$B$1)</f>
        <v/>
      </c>
      <c r="E48" s="11">
        <f>IF(Roster!A21="","","Open: "&amp;Settings!$B$1)</f>
        <v/>
      </c>
    </row>
    <row r="49" ht="30" customHeight="1">
      <c r="A49" s="11">
        <f>IF(Roster!A20="","","Tap Sign in, type your period and number, then sign in with your school Google account.")</f>
        <v/>
      </c>
      <c r="E49" s="11">
        <f>IF(Roster!A21="","","Tap Sign in, type your period and number, then sign in with your school Google account.")</f>
        <v/>
      </c>
    </row>
    <row r="50" ht="10" customHeight="1">
      <c r="A50" s="12" t="n"/>
      <c r="B50" s="14" t="n"/>
      <c r="C50" s="14" t="n"/>
      <c r="E50" s="12" t="n"/>
      <c r="F50" s="14" t="n"/>
      <c r="G50" s="14" t="n"/>
    </row>
    <row r="51" ht="24" customHeight="1">
      <c r="A51" s="9">
        <f>IF(Roster!A22="","",Roster!A22)</f>
        <v/>
      </c>
      <c r="E51" s="9">
        <f>IF(Roster!A23="","",Roster!A23)</f>
        <v/>
      </c>
    </row>
    <row r="52" ht="24" customHeight="1">
      <c r="A52" s="10">
        <f>IF(Roster!A22="","","Period "&amp;Roster!B22&amp;"   ·   Student number "&amp;Roster!C22)</f>
        <v/>
      </c>
      <c r="E52" s="10">
        <f>IF(Roster!A23="","","Period "&amp;Roster!B23&amp;"   ·   Student number "&amp;Roster!C23)</f>
        <v/>
      </c>
    </row>
    <row r="53" ht="18" customHeight="1">
      <c r="A53" s="11">
        <f>IF(Roster!A22="","","Open: "&amp;Settings!$B$1)</f>
        <v/>
      </c>
      <c r="E53" s="11">
        <f>IF(Roster!A23="","","Open: "&amp;Settings!$B$1)</f>
        <v/>
      </c>
    </row>
    <row r="54" ht="30" customHeight="1">
      <c r="A54" s="11">
        <f>IF(Roster!A22="","","Tap Sign in, type your period and number, then sign in with your school Google account.")</f>
        <v/>
      </c>
      <c r="E54" s="11">
        <f>IF(Roster!A23="","","Tap Sign in, type your period and number, then sign in with your school Google account.")</f>
        <v/>
      </c>
    </row>
    <row r="55" ht="10" customHeight="1">
      <c r="A55" s="12" t="n"/>
      <c r="B55" s="14" t="n"/>
      <c r="C55" s="14" t="n"/>
      <c r="E55" s="12" t="n"/>
      <c r="F55" s="14" t="n"/>
      <c r="G55" s="14" t="n"/>
    </row>
    <row r="56" ht="24" customHeight="1">
      <c r="A56" s="9">
        <f>IF(Roster!A24="","",Roster!A24)</f>
        <v/>
      </c>
      <c r="E56" s="9">
        <f>IF(Roster!A25="","",Roster!A25)</f>
        <v/>
      </c>
    </row>
    <row r="57" ht="24" customHeight="1">
      <c r="A57" s="10">
        <f>IF(Roster!A24="","","Period "&amp;Roster!B24&amp;"   ·   Student number "&amp;Roster!C24)</f>
        <v/>
      </c>
      <c r="E57" s="10">
        <f>IF(Roster!A25="","","Period "&amp;Roster!B25&amp;"   ·   Student number "&amp;Roster!C25)</f>
        <v/>
      </c>
    </row>
    <row r="58" ht="18" customHeight="1">
      <c r="A58" s="11">
        <f>IF(Roster!A24="","","Open: "&amp;Settings!$B$1)</f>
        <v/>
      </c>
      <c r="E58" s="11">
        <f>IF(Roster!A25="","","Open: "&amp;Settings!$B$1)</f>
        <v/>
      </c>
    </row>
    <row r="59" ht="30" customHeight="1">
      <c r="A59" s="11">
        <f>IF(Roster!A24="","","Tap Sign in, type your period and number, then sign in with your school Google account.")</f>
        <v/>
      </c>
      <c r="E59" s="11">
        <f>IF(Roster!A25="","","Tap Sign in, type your period and number, then sign in with your school Google account.")</f>
        <v/>
      </c>
    </row>
    <row r="60" ht="10" customHeight="1">
      <c r="A60" s="12" t="n"/>
      <c r="B60" s="14" t="n"/>
      <c r="C60" s="14" t="n"/>
      <c r="E60" s="12" t="n"/>
      <c r="F60" s="14" t="n"/>
      <c r="G60" s="14" t="n"/>
    </row>
    <row r="61" ht="24" customHeight="1">
      <c r="A61" s="9">
        <f>IF(Roster!A26="","",Roster!A26)</f>
        <v/>
      </c>
      <c r="E61" s="9">
        <f>IF(Roster!A27="","",Roster!A27)</f>
        <v/>
      </c>
    </row>
    <row r="62" ht="24" customHeight="1">
      <c r="A62" s="10">
        <f>IF(Roster!A26="","","Period "&amp;Roster!B26&amp;"   ·   Student number "&amp;Roster!C26)</f>
        <v/>
      </c>
      <c r="E62" s="10">
        <f>IF(Roster!A27="","","Period "&amp;Roster!B27&amp;"   ·   Student number "&amp;Roster!C27)</f>
        <v/>
      </c>
    </row>
    <row r="63" ht="18" customHeight="1">
      <c r="A63" s="11">
        <f>IF(Roster!A26="","","Open: "&amp;Settings!$B$1)</f>
        <v/>
      </c>
      <c r="E63" s="11">
        <f>IF(Roster!A27="","","Open: "&amp;Settings!$B$1)</f>
        <v/>
      </c>
    </row>
    <row r="64" ht="30" customHeight="1">
      <c r="A64" s="11">
        <f>IF(Roster!A26="","","Tap Sign in, type your period and number, then sign in with your school Google account.")</f>
        <v/>
      </c>
      <c r="E64" s="11">
        <f>IF(Roster!A27="","","Tap Sign in, type your period and number, then sign in with your school Google account.")</f>
        <v/>
      </c>
    </row>
    <row r="65" ht="10" customHeight="1">
      <c r="A65" s="12" t="n"/>
      <c r="B65" s="14" t="n"/>
      <c r="C65" s="14" t="n"/>
      <c r="E65" s="12" t="n"/>
      <c r="F65" s="14" t="n"/>
      <c r="G65" s="14" t="n"/>
    </row>
    <row r="66" ht="24" customHeight="1">
      <c r="A66" s="9">
        <f>IF(Roster!A28="","",Roster!A28)</f>
        <v/>
      </c>
      <c r="E66" s="9">
        <f>IF(Roster!A29="","",Roster!A29)</f>
        <v/>
      </c>
    </row>
    <row r="67" ht="24" customHeight="1">
      <c r="A67" s="10">
        <f>IF(Roster!A28="","","Period "&amp;Roster!B28&amp;"   ·   Student number "&amp;Roster!C28)</f>
        <v/>
      </c>
      <c r="E67" s="10">
        <f>IF(Roster!A29="","","Period "&amp;Roster!B29&amp;"   ·   Student number "&amp;Roster!C29)</f>
        <v/>
      </c>
    </row>
    <row r="68" ht="18" customHeight="1">
      <c r="A68" s="11">
        <f>IF(Roster!A28="","","Open: "&amp;Settings!$B$1)</f>
        <v/>
      </c>
      <c r="E68" s="11">
        <f>IF(Roster!A29="","","Open: "&amp;Settings!$B$1)</f>
        <v/>
      </c>
    </row>
    <row r="69" ht="30" customHeight="1">
      <c r="A69" s="11">
        <f>IF(Roster!A28="","","Tap Sign in, type your period and number, then sign in with your school Google account.")</f>
        <v/>
      </c>
      <c r="E69" s="11">
        <f>IF(Roster!A29="","","Tap Sign in, type your period and number, then sign in with your school Google account.")</f>
        <v/>
      </c>
    </row>
    <row r="70" ht="10" customHeight="1">
      <c r="A70" s="12" t="n"/>
      <c r="B70" s="14" t="n"/>
      <c r="C70" s="14" t="n"/>
      <c r="E70" s="12" t="n"/>
      <c r="F70" s="14" t="n"/>
      <c r="G70" s="14" t="n"/>
    </row>
    <row r="71" ht="24" customHeight="1">
      <c r="A71" s="9">
        <f>IF(Roster!A30="","",Roster!A30)</f>
        <v/>
      </c>
      <c r="E71" s="9">
        <f>IF(Roster!A31="","",Roster!A31)</f>
        <v/>
      </c>
    </row>
    <row r="72" ht="24" customHeight="1">
      <c r="A72" s="10">
        <f>IF(Roster!A30="","","Period "&amp;Roster!B30&amp;"   ·   Student number "&amp;Roster!C30)</f>
        <v/>
      </c>
      <c r="E72" s="10">
        <f>IF(Roster!A31="","","Period "&amp;Roster!B31&amp;"   ·   Student number "&amp;Roster!C31)</f>
        <v/>
      </c>
    </row>
    <row r="73" ht="18" customHeight="1">
      <c r="A73" s="11">
        <f>IF(Roster!A30="","","Open: "&amp;Settings!$B$1)</f>
        <v/>
      </c>
      <c r="E73" s="11">
        <f>IF(Roster!A31="","","Open: "&amp;Settings!$B$1)</f>
        <v/>
      </c>
    </row>
    <row r="74" ht="30" customHeight="1">
      <c r="A74" s="11">
        <f>IF(Roster!A30="","","Tap Sign in, type your period and number, then sign in with your school Google account.")</f>
        <v/>
      </c>
      <c r="E74" s="11">
        <f>IF(Roster!A31="","","Tap Sign in, type your period and number, then sign in with your school Google account.")</f>
        <v/>
      </c>
    </row>
    <row r="75" ht="10" customHeight="1">
      <c r="A75" s="12" t="n"/>
      <c r="B75" s="14" t="n"/>
      <c r="C75" s="14" t="n"/>
      <c r="E75" s="12" t="n"/>
      <c r="F75" s="14" t="n"/>
      <c r="G75" s="14" t="n"/>
    </row>
    <row r="76" ht="24" customHeight="1">
      <c r="A76" s="9">
        <f>IF(Roster!A32="","",Roster!A32)</f>
        <v/>
      </c>
      <c r="E76" s="9">
        <f>IF(Roster!A33="","",Roster!A33)</f>
        <v/>
      </c>
    </row>
    <row r="77" ht="24" customHeight="1">
      <c r="A77" s="10">
        <f>IF(Roster!A32="","","Period "&amp;Roster!B32&amp;"   ·   Student number "&amp;Roster!C32)</f>
        <v/>
      </c>
      <c r="E77" s="10">
        <f>IF(Roster!A33="","","Period "&amp;Roster!B33&amp;"   ·   Student number "&amp;Roster!C33)</f>
        <v/>
      </c>
    </row>
    <row r="78" ht="18" customHeight="1">
      <c r="A78" s="11">
        <f>IF(Roster!A32="","","Open: "&amp;Settings!$B$1)</f>
        <v/>
      </c>
      <c r="E78" s="11">
        <f>IF(Roster!A33="","","Open: "&amp;Settings!$B$1)</f>
        <v/>
      </c>
    </row>
    <row r="79" ht="30" customHeight="1">
      <c r="A79" s="11">
        <f>IF(Roster!A32="","","Tap Sign in, type your period and number, then sign in with your school Google account.")</f>
        <v/>
      </c>
      <c r="E79" s="11">
        <f>IF(Roster!A33="","","Tap Sign in, type your period and number, then sign in with your school Google account.")</f>
        <v/>
      </c>
    </row>
    <row r="80" ht="10" customHeight="1">
      <c r="A80" s="12" t="n"/>
      <c r="B80" s="14" t="n"/>
      <c r="C80" s="14" t="n"/>
      <c r="E80" s="12" t="n"/>
      <c r="F80" s="14" t="n"/>
      <c r="G80" s="14" t="n"/>
    </row>
    <row r="81" ht="24" customHeight="1">
      <c r="A81" s="9">
        <f>IF(Roster!A34="","",Roster!A34)</f>
        <v/>
      </c>
      <c r="E81" s="9">
        <f>IF(Roster!A35="","",Roster!A35)</f>
        <v/>
      </c>
    </row>
    <row r="82" ht="24" customHeight="1">
      <c r="A82" s="10">
        <f>IF(Roster!A34="","","Period "&amp;Roster!B34&amp;"   ·   Student number "&amp;Roster!C34)</f>
        <v/>
      </c>
      <c r="E82" s="10">
        <f>IF(Roster!A35="","","Period "&amp;Roster!B35&amp;"   ·   Student number "&amp;Roster!C35)</f>
        <v/>
      </c>
    </row>
    <row r="83" ht="18" customHeight="1">
      <c r="A83" s="11">
        <f>IF(Roster!A34="","","Open: "&amp;Settings!$B$1)</f>
        <v/>
      </c>
      <c r="E83" s="11">
        <f>IF(Roster!A35="","","Open: "&amp;Settings!$B$1)</f>
        <v/>
      </c>
    </row>
    <row r="84" ht="30" customHeight="1">
      <c r="A84" s="11">
        <f>IF(Roster!A34="","","Tap Sign in, type your period and number, then sign in with your school Google account.")</f>
        <v/>
      </c>
      <c r="E84" s="11">
        <f>IF(Roster!A35="","","Tap Sign in, type your period and number, then sign in with your school Google account.")</f>
        <v/>
      </c>
    </row>
    <row r="85" ht="10" customHeight="1">
      <c r="A85" s="12" t="n"/>
      <c r="B85" s="14" t="n"/>
      <c r="C85" s="14" t="n"/>
      <c r="E85" s="12" t="n"/>
      <c r="F85" s="14" t="n"/>
      <c r="G85" s="14" t="n"/>
    </row>
    <row r="86" ht="24" customHeight="1">
      <c r="A86" s="9">
        <f>IF(Roster!A36="","",Roster!A36)</f>
        <v/>
      </c>
      <c r="E86" s="9">
        <f>IF(Roster!A37="","",Roster!A37)</f>
        <v/>
      </c>
    </row>
    <row r="87" ht="24" customHeight="1">
      <c r="A87" s="10">
        <f>IF(Roster!A36="","","Period "&amp;Roster!B36&amp;"   ·   Student number "&amp;Roster!C36)</f>
        <v/>
      </c>
      <c r="E87" s="10">
        <f>IF(Roster!A37="","","Period "&amp;Roster!B37&amp;"   ·   Student number "&amp;Roster!C37)</f>
        <v/>
      </c>
    </row>
    <row r="88" ht="18" customHeight="1">
      <c r="A88" s="11">
        <f>IF(Roster!A36="","","Open: "&amp;Settings!$B$1)</f>
        <v/>
      </c>
      <c r="E88" s="11">
        <f>IF(Roster!A37="","","Open: "&amp;Settings!$B$1)</f>
        <v/>
      </c>
    </row>
    <row r="89" ht="30" customHeight="1">
      <c r="A89" s="11">
        <f>IF(Roster!A36="","","Tap Sign in, type your period and number, then sign in with your school Google account.")</f>
        <v/>
      </c>
      <c r="E89" s="11">
        <f>IF(Roster!A37="","","Tap Sign in, type your period and number, then sign in with your school Google account.")</f>
        <v/>
      </c>
    </row>
    <row r="90" ht="10" customHeight="1">
      <c r="A90" s="12" t="n"/>
      <c r="B90" s="14" t="n"/>
      <c r="C90" s="14" t="n"/>
      <c r="E90" s="12" t="n"/>
      <c r="F90" s="14" t="n"/>
      <c r="G90" s="14" t="n"/>
    </row>
    <row r="91" ht="24" customHeight="1">
      <c r="A91" s="9">
        <f>IF(Roster!A38="","",Roster!A38)</f>
        <v/>
      </c>
      <c r="E91" s="9">
        <f>IF(Roster!A39="","",Roster!A39)</f>
        <v/>
      </c>
    </row>
    <row r="92" ht="24" customHeight="1">
      <c r="A92" s="10">
        <f>IF(Roster!A38="","","Period "&amp;Roster!B38&amp;"   ·   Student number "&amp;Roster!C38)</f>
        <v/>
      </c>
      <c r="E92" s="10">
        <f>IF(Roster!A39="","","Period "&amp;Roster!B39&amp;"   ·   Student number "&amp;Roster!C39)</f>
        <v/>
      </c>
    </row>
    <row r="93" ht="18" customHeight="1">
      <c r="A93" s="11">
        <f>IF(Roster!A38="","","Open: "&amp;Settings!$B$1)</f>
        <v/>
      </c>
      <c r="E93" s="11">
        <f>IF(Roster!A39="","","Open: "&amp;Settings!$B$1)</f>
        <v/>
      </c>
    </row>
    <row r="94" ht="30" customHeight="1">
      <c r="A94" s="11">
        <f>IF(Roster!A38="","","Tap Sign in, type your period and number, then sign in with your school Google account.")</f>
        <v/>
      </c>
      <c r="E94" s="11">
        <f>IF(Roster!A39="","","Tap Sign in, type your period and number, then sign in with your school Google account.")</f>
        <v/>
      </c>
    </row>
    <row r="95" ht="10" customHeight="1">
      <c r="A95" s="12" t="n"/>
      <c r="B95" s="14" t="n"/>
      <c r="C95" s="14" t="n"/>
      <c r="E95" s="12" t="n"/>
      <c r="F95" s="14" t="n"/>
      <c r="G95" s="14" t="n"/>
    </row>
    <row r="96" ht="24" customHeight="1">
      <c r="A96" s="9">
        <f>IF(Roster!A40="","",Roster!A40)</f>
        <v/>
      </c>
      <c r="E96" s="9">
        <f>IF(Roster!A41="","",Roster!A41)</f>
        <v/>
      </c>
    </row>
    <row r="97" ht="24" customHeight="1">
      <c r="A97" s="10">
        <f>IF(Roster!A40="","","Period "&amp;Roster!B40&amp;"   ·   Student number "&amp;Roster!C40)</f>
        <v/>
      </c>
      <c r="E97" s="10">
        <f>IF(Roster!A41="","","Period "&amp;Roster!B41&amp;"   ·   Student number "&amp;Roster!C41)</f>
        <v/>
      </c>
    </row>
    <row r="98" ht="18" customHeight="1">
      <c r="A98" s="11">
        <f>IF(Roster!A40="","","Open: "&amp;Settings!$B$1)</f>
        <v/>
      </c>
      <c r="E98" s="11">
        <f>IF(Roster!A41="","","Open: "&amp;Settings!$B$1)</f>
        <v/>
      </c>
    </row>
    <row r="99" ht="30" customHeight="1">
      <c r="A99" s="11">
        <f>IF(Roster!A40="","","Tap Sign in, type your period and number, then sign in with your school Google account.")</f>
        <v/>
      </c>
      <c r="E99" s="11">
        <f>IF(Roster!A41="","","Tap Sign in, type your period and number, then sign in with your school Google account.")</f>
        <v/>
      </c>
    </row>
    <row r="100" ht="10" customHeight="1">
      <c r="A100" s="12" t="n"/>
      <c r="B100" s="14" t="n"/>
      <c r="C100" s="14" t="n"/>
      <c r="E100" s="12" t="n"/>
      <c r="F100" s="14" t="n"/>
      <c r="G100" s="14" t="n"/>
    </row>
    <row r="101" ht="24" customHeight="1">
      <c r="A101" s="9">
        <f>IF(Roster!A42="","",Roster!A42)</f>
        <v/>
      </c>
      <c r="E101" s="9">
        <f>IF(Roster!A43="","",Roster!A43)</f>
        <v/>
      </c>
    </row>
    <row r="102" ht="24" customHeight="1">
      <c r="A102" s="10">
        <f>IF(Roster!A42="","","Period "&amp;Roster!B42&amp;"   ·   Student number "&amp;Roster!C42)</f>
        <v/>
      </c>
      <c r="E102" s="10">
        <f>IF(Roster!A43="","","Period "&amp;Roster!B43&amp;"   ·   Student number "&amp;Roster!C43)</f>
        <v/>
      </c>
    </row>
    <row r="103" ht="18" customHeight="1">
      <c r="A103" s="11">
        <f>IF(Roster!A42="","","Open: "&amp;Settings!$B$1)</f>
        <v/>
      </c>
      <c r="E103" s="11">
        <f>IF(Roster!A43="","","Open: "&amp;Settings!$B$1)</f>
        <v/>
      </c>
    </row>
    <row r="104" ht="30" customHeight="1">
      <c r="A104" s="11">
        <f>IF(Roster!A42="","","Tap Sign in, type your period and number, then sign in with your school Google account.")</f>
        <v/>
      </c>
      <c r="E104" s="11">
        <f>IF(Roster!A43="","","Tap Sign in, type your period and number, then sign in with your school Google account.")</f>
        <v/>
      </c>
    </row>
    <row r="105" ht="10" customHeight="1">
      <c r="A105" s="12" t="n"/>
      <c r="B105" s="14" t="n"/>
      <c r="C105" s="14" t="n"/>
      <c r="E105" s="12" t="n"/>
      <c r="F105" s="14" t="n"/>
      <c r="G105" s="14" t="n"/>
    </row>
    <row r="106" ht="24" customHeight="1">
      <c r="A106" s="9">
        <f>IF(Roster!A44="","",Roster!A44)</f>
        <v/>
      </c>
      <c r="E106" s="9">
        <f>IF(Roster!A45="","",Roster!A45)</f>
        <v/>
      </c>
    </row>
    <row r="107" ht="24" customHeight="1">
      <c r="A107" s="10">
        <f>IF(Roster!A44="","","Period "&amp;Roster!B44&amp;"   ·   Student number "&amp;Roster!C44)</f>
        <v/>
      </c>
      <c r="E107" s="10">
        <f>IF(Roster!A45="","","Period "&amp;Roster!B45&amp;"   ·   Student number "&amp;Roster!C45)</f>
        <v/>
      </c>
    </row>
    <row r="108" ht="18" customHeight="1">
      <c r="A108" s="11">
        <f>IF(Roster!A44="","","Open: "&amp;Settings!$B$1)</f>
        <v/>
      </c>
      <c r="E108" s="11">
        <f>IF(Roster!A45="","","Open: "&amp;Settings!$B$1)</f>
        <v/>
      </c>
    </row>
    <row r="109" ht="30" customHeight="1">
      <c r="A109" s="11">
        <f>IF(Roster!A44="","","Tap Sign in, type your period and number, then sign in with your school Google account.")</f>
        <v/>
      </c>
      <c r="E109" s="11">
        <f>IF(Roster!A45="","","Tap Sign in, type your period and number, then sign in with your school Google account.")</f>
        <v/>
      </c>
    </row>
    <row r="110" ht="10" customHeight="1">
      <c r="A110" s="12" t="n"/>
      <c r="B110" s="14" t="n"/>
      <c r="C110" s="14" t="n"/>
      <c r="E110" s="12" t="n"/>
      <c r="F110" s="14" t="n"/>
      <c r="G110" s="14" t="n"/>
    </row>
    <row r="111" ht="24" customHeight="1">
      <c r="A111" s="9">
        <f>IF(Roster!A46="","",Roster!A46)</f>
        <v/>
      </c>
      <c r="E111" s="9">
        <f>IF(Roster!A47="","",Roster!A47)</f>
        <v/>
      </c>
    </row>
    <row r="112" ht="24" customHeight="1">
      <c r="A112" s="10">
        <f>IF(Roster!A46="","","Period "&amp;Roster!B46&amp;"   ·   Student number "&amp;Roster!C46)</f>
        <v/>
      </c>
      <c r="E112" s="10">
        <f>IF(Roster!A47="","","Period "&amp;Roster!B47&amp;"   ·   Student number "&amp;Roster!C47)</f>
        <v/>
      </c>
    </row>
    <row r="113" ht="18" customHeight="1">
      <c r="A113" s="11">
        <f>IF(Roster!A46="","","Open: "&amp;Settings!$B$1)</f>
        <v/>
      </c>
      <c r="E113" s="11">
        <f>IF(Roster!A47="","","Open: "&amp;Settings!$B$1)</f>
        <v/>
      </c>
    </row>
    <row r="114" ht="30" customHeight="1">
      <c r="A114" s="11">
        <f>IF(Roster!A46="","","Tap Sign in, type your period and number, then sign in with your school Google account.")</f>
        <v/>
      </c>
      <c r="E114" s="11">
        <f>IF(Roster!A47="","","Tap Sign in, type your period and number, then sign in with your school Google account.")</f>
        <v/>
      </c>
    </row>
    <row r="115" ht="10" customHeight="1">
      <c r="A115" s="12" t="n"/>
      <c r="B115" s="14" t="n"/>
      <c r="C115" s="14" t="n"/>
      <c r="E115" s="12" t="n"/>
      <c r="F115" s="14" t="n"/>
      <c r="G115" s="14" t="n"/>
    </row>
    <row r="116" ht="24" customHeight="1">
      <c r="A116" s="9">
        <f>IF(Roster!A48="","",Roster!A48)</f>
        <v/>
      </c>
      <c r="E116" s="9">
        <f>IF(Roster!A49="","",Roster!A49)</f>
        <v/>
      </c>
    </row>
    <row r="117" ht="24" customHeight="1">
      <c r="A117" s="10">
        <f>IF(Roster!A48="","","Period "&amp;Roster!B48&amp;"   ·   Student number "&amp;Roster!C48)</f>
        <v/>
      </c>
      <c r="E117" s="10">
        <f>IF(Roster!A49="","","Period "&amp;Roster!B49&amp;"   ·   Student number "&amp;Roster!C49)</f>
        <v/>
      </c>
    </row>
    <row r="118" ht="18" customHeight="1">
      <c r="A118" s="11">
        <f>IF(Roster!A48="","","Open: "&amp;Settings!$B$1)</f>
        <v/>
      </c>
      <c r="E118" s="11">
        <f>IF(Roster!A49="","","Open: "&amp;Settings!$B$1)</f>
        <v/>
      </c>
    </row>
    <row r="119" ht="30" customHeight="1">
      <c r="A119" s="11">
        <f>IF(Roster!A48="","","Tap Sign in, type your period and number, then sign in with your school Google account.")</f>
        <v/>
      </c>
      <c r="E119" s="11">
        <f>IF(Roster!A49="","","Tap Sign in, type your period and number, then sign in with your school Google account.")</f>
        <v/>
      </c>
    </row>
    <row r="120" ht="10" customHeight="1">
      <c r="A120" s="12" t="n"/>
      <c r="B120" s="14" t="n"/>
      <c r="C120" s="14" t="n"/>
      <c r="E120" s="12" t="n"/>
      <c r="F120" s="14" t="n"/>
      <c r="G120" s="14" t="n"/>
    </row>
    <row r="121" ht="24" customHeight="1">
      <c r="A121" s="9">
        <f>IF(Roster!A50="","",Roster!A50)</f>
        <v/>
      </c>
      <c r="E121" s="9">
        <f>IF(Roster!A51="","",Roster!A51)</f>
        <v/>
      </c>
    </row>
    <row r="122" ht="24" customHeight="1">
      <c r="A122" s="10">
        <f>IF(Roster!A50="","","Period "&amp;Roster!B50&amp;"   ·   Student number "&amp;Roster!C50)</f>
        <v/>
      </c>
      <c r="E122" s="10">
        <f>IF(Roster!A51="","","Period "&amp;Roster!B51&amp;"   ·   Student number "&amp;Roster!C51)</f>
        <v/>
      </c>
    </row>
    <row r="123" ht="18" customHeight="1">
      <c r="A123" s="11">
        <f>IF(Roster!A50="","","Open: "&amp;Settings!$B$1)</f>
        <v/>
      </c>
      <c r="E123" s="11">
        <f>IF(Roster!A51="","","Open: "&amp;Settings!$B$1)</f>
        <v/>
      </c>
    </row>
    <row r="124" ht="30" customHeight="1">
      <c r="A124" s="11">
        <f>IF(Roster!A50="","","Tap Sign in, type your period and number, then sign in with your school Google account.")</f>
        <v/>
      </c>
      <c r="E124" s="11">
        <f>IF(Roster!A51="","","Tap Sign in, type your period and number, then sign in with your school Google account.")</f>
        <v/>
      </c>
    </row>
    <row r="125" ht="10" customHeight="1">
      <c r="A125" s="12" t="n"/>
      <c r="B125" s="14" t="n"/>
      <c r="C125" s="14" t="n"/>
      <c r="E125" s="12" t="n"/>
      <c r="F125" s="14" t="n"/>
      <c r="G125" s="14" t="n"/>
    </row>
    <row r="126" ht="24" customHeight="1">
      <c r="A126" s="9">
        <f>IF(Roster!A52="","",Roster!A52)</f>
        <v/>
      </c>
      <c r="E126" s="9">
        <f>IF(Roster!A53="","",Roster!A53)</f>
        <v/>
      </c>
    </row>
    <row r="127" ht="24" customHeight="1">
      <c r="A127" s="10">
        <f>IF(Roster!A52="","","Period "&amp;Roster!B52&amp;"   ·   Student number "&amp;Roster!C52)</f>
        <v/>
      </c>
      <c r="E127" s="10">
        <f>IF(Roster!A53="","","Period "&amp;Roster!B53&amp;"   ·   Student number "&amp;Roster!C53)</f>
        <v/>
      </c>
    </row>
    <row r="128" ht="18" customHeight="1">
      <c r="A128" s="11">
        <f>IF(Roster!A52="","","Open: "&amp;Settings!$B$1)</f>
        <v/>
      </c>
      <c r="E128" s="11">
        <f>IF(Roster!A53="","","Open: "&amp;Settings!$B$1)</f>
        <v/>
      </c>
    </row>
    <row r="129" ht="30" customHeight="1">
      <c r="A129" s="11">
        <f>IF(Roster!A52="","","Tap Sign in, type your period and number, then sign in with your school Google account.")</f>
        <v/>
      </c>
      <c r="E129" s="11">
        <f>IF(Roster!A53="","","Tap Sign in, type your period and number, then sign in with your school Google account.")</f>
        <v/>
      </c>
    </row>
    <row r="130" ht="10" customHeight="1">
      <c r="A130" s="12" t="n"/>
      <c r="B130" s="14" t="n"/>
      <c r="C130" s="14" t="n"/>
      <c r="E130" s="12" t="n"/>
      <c r="F130" s="14" t="n"/>
      <c r="G130" s="14" t="n"/>
    </row>
    <row r="131" ht="24" customHeight="1">
      <c r="A131" s="9">
        <f>IF(Roster!A54="","",Roster!A54)</f>
        <v/>
      </c>
      <c r="E131" s="9">
        <f>IF(Roster!A55="","",Roster!A55)</f>
        <v/>
      </c>
    </row>
    <row r="132" ht="24" customHeight="1">
      <c r="A132" s="10">
        <f>IF(Roster!A54="","","Period "&amp;Roster!B54&amp;"   ·   Student number "&amp;Roster!C54)</f>
        <v/>
      </c>
      <c r="E132" s="10">
        <f>IF(Roster!A55="","","Period "&amp;Roster!B55&amp;"   ·   Student number "&amp;Roster!C55)</f>
        <v/>
      </c>
    </row>
    <row r="133" ht="18" customHeight="1">
      <c r="A133" s="11">
        <f>IF(Roster!A54="","","Open: "&amp;Settings!$B$1)</f>
        <v/>
      </c>
      <c r="E133" s="11">
        <f>IF(Roster!A55="","","Open: "&amp;Settings!$B$1)</f>
        <v/>
      </c>
    </row>
    <row r="134" ht="30" customHeight="1">
      <c r="A134" s="11">
        <f>IF(Roster!A54="","","Tap Sign in, type your period and number, then sign in with your school Google account.")</f>
        <v/>
      </c>
      <c r="E134" s="11">
        <f>IF(Roster!A55="","","Tap Sign in, type your period and number, then sign in with your school Google account.")</f>
        <v/>
      </c>
    </row>
    <row r="135" ht="10" customHeight="1">
      <c r="A135" s="12" t="n"/>
      <c r="B135" s="14" t="n"/>
      <c r="C135" s="14" t="n"/>
      <c r="E135" s="12" t="n"/>
      <c r="F135" s="14" t="n"/>
      <c r="G135" s="14" t="n"/>
    </row>
    <row r="136" ht="24" customHeight="1">
      <c r="A136" s="9">
        <f>IF(Roster!A56="","",Roster!A56)</f>
        <v/>
      </c>
      <c r="E136" s="9">
        <f>IF(Roster!A57="","",Roster!A57)</f>
        <v/>
      </c>
    </row>
    <row r="137" ht="24" customHeight="1">
      <c r="A137" s="10">
        <f>IF(Roster!A56="","","Period "&amp;Roster!B56&amp;"   ·   Student number "&amp;Roster!C56)</f>
        <v/>
      </c>
      <c r="E137" s="10">
        <f>IF(Roster!A57="","","Period "&amp;Roster!B57&amp;"   ·   Student number "&amp;Roster!C57)</f>
        <v/>
      </c>
    </row>
    <row r="138" ht="18" customHeight="1">
      <c r="A138" s="11">
        <f>IF(Roster!A56="","","Open: "&amp;Settings!$B$1)</f>
        <v/>
      </c>
      <c r="E138" s="11">
        <f>IF(Roster!A57="","","Open: "&amp;Settings!$B$1)</f>
        <v/>
      </c>
    </row>
    <row r="139" ht="30" customHeight="1">
      <c r="A139" s="11">
        <f>IF(Roster!A56="","","Tap Sign in, type your period and number, then sign in with your school Google account.")</f>
        <v/>
      </c>
      <c r="E139" s="11">
        <f>IF(Roster!A57="","","Tap Sign in, type your period and number, then sign in with your school Google account.")</f>
        <v/>
      </c>
    </row>
    <row r="140" ht="10" customHeight="1">
      <c r="A140" s="12" t="n"/>
      <c r="B140" s="14" t="n"/>
      <c r="C140" s="14" t="n"/>
      <c r="E140" s="12" t="n"/>
      <c r="F140" s="14" t="n"/>
      <c r="G140" s="14" t="n"/>
    </row>
    <row r="141" ht="24" customHeight="1">
      <c r="A141" s="9">
        <f>IF(Roster!A58="","",Roster!A58)</f>
        <v/>
      </c>
      <c r="E141" s="9">
        <f>IF(Roster!A59="","",Roster!A59)</f>
        <v/>
      </c>
    </row>
    <row r="142" ht="24" customHeight="1">
      <c r="A142" s="10">
        <f>IF(Roster!A58="","","Period "&amp;Roster!B58&amp;"   ·   Student number "&amp;Roster!C58)</f>
        <v/>
      </c>
      <c r="E142" s="10">
        <f>IF(Roster!A59="","","Period "&amp;Roster!B59&amp;"   ·   Student number "&amp;Roster!C59)</f>
        <v/>
      </c>
    </row>
    <row r="143" ht="18" customHeight="1">
      <c r="A143" s="11">
        <f>IF(Roster!A58="","","Open: "&amp;Settings!$B$1)</f>
        <v/>
      </c>
      <c r="E143" s="11">
        <f>IF(Roster!A59="","","Open: "&amp;Settings!$B$1)</f>
        <v/>
      </c>
    </row>
    <row r="144" ht="30" customHeight="1">
      <c r="A144" s="11">
        <f>IF(Roster!A58="","","Tap Sign in, type your period and number, then sign in with your school Google account.")</f>
        <v/>
      </c>
      <c r="E144" s="11">
        <f>IF(Roster!A59="","","Tap Sign in, type your period and number, then sign in with your school Google account.")</f>
        <v/>
      </c>
    </row>
    <row r="145" ht="10" customHeight="1">
      <c r="A145" s="12" t="n"/>
      <c r="B145" s="14" t="n"/>
      <c r="C145" s="14" t="n"/>
      <c r="E145" s="12" t="n"/>
      <c r="F145" s="14" t="n"/>
      <c r="G145" s="14" t="n"/>
    </row>
    <row r="146" ht="24" customHeight="1">
      <c r="A146" s="9">
        <f>IF(Roster!A60="","",Roster!A60)</f>
        <v/>
      </c>
      <c r="E146" s="9">
        <f>IF(Roster!A61="","",Roster!A61)</f>
        <v/>
      </c>
    </row>
    <row r="147" ht="24" customHeight="1">
      <c r="A147" s="10">
        <f>IF(Roster!A60="","","Period "&amp;Roster!B60&amp;"   ·   Student number "&amp;Roster!C60)</f>
        <v/>
      </c>
      <c r="E147" s="10">
        <f>IF(Roster!A61="","","Period "&amp;Roster!B61&amp;"   ·   Student number "&amp;Roster!C61)</f>
        <v/>
      </c>
    </row>
    <row r="148" ht="18" customHeight="1">
      <c r="A148" s="11">
        <f>IF(Roster!A60="","","Open: "&amp;Settings!$B$1)</f>
        <v/>
      </c>
      <c r="E148" s="11">
        <f>IF(Roster!A61="","","Open: "&amp;Settings!$B$1)</f>
        <v/>
      </c>
    </row>
    <row r="149" ht="30" customHeight="1">
      <c r="A149" s="11">
        <f>IF(Roster!A60="","","Tap Sign in, type your period and number, then sign in with your school Google account.")</f>
        <v/>
      </c>
      <c r="E149" s="11">
        <f>IF(Roster!A61="","","Tap Sign in, type your period and number, then sign in with your school Google account.")</f>
        <v/>
      </c>
    </row>
    <row r="150" ht="10" customHeight="1">
      <c r="A150" s="12" t="n"/>
      <c r="B150" s="14" t="n"/>
      <c r="C150" s="14" t="n"/>
      <c r="E150" s="12" t="n"/>
      <c r="F150" s="14" t="n"/>
      <c r="G150" s="14" t="n"/>
    </row>
    <row r="151" ht="24" customHeight="1">
      <c r="A151" s="9">
        <f>IF(Roster!A62="","",Roster!A62)</f>
        <v/>
      </c>
      <c r="E151" s="9">
        <f>IF(Roster!A63="","",Roster!A63)</f>
        <v/>
      </c>
    </row>
    <row r="152" ht="24" customHeight="1">
      <c r="A152" s="10">
        <f>IF(Roster!A62="","","Period "&amp;Roster!B62&amp;"   ·   Student number "&amp;Roster!C62)</f>
        <v/>
      </c>
      <c r="E152" s="10">
        <f>IF(Roster!A63="","","Period "&amp;Roster!B63&amp;"   ·   Student number "&amp;Roster!C63)</f>
        <v/>
      </c>
    </row>
    <row r="153" ht="18" customHeight="1">
      <c r="A153" s="11">
        <f>IF(Roster!A62="","","Open: "&amp;Settings!$B$1)</f>
        <v/>
      </c>
      <c r="E153" s="11">
        <f>IF(Roster!A63="","","Open: "&amp;Settings!$B$1)</f>
        <v/>
      </c>
    </row>
    <row r="154" ht="30" customHeight="1">
      <c r="A154" s="11">
        <f>IF(Roster!A62="","","Tap Sign in, type your period and number, then sign in with your school Google account.")</f>
        <v/>
      </c>
      <c r="E154" s="11">
        <f>IF(Roster!A63="","","Tap Sign in, type your period and number, then sign in with your school Google account.")</f>
        <v/>
      </c>
    </row>
    <row r="155" ht="10" customHeight="1">
      <c r="A155" s="12" t="n"/>
      <c r="B155" s="14" t="n"/>
      <c r="C155" s="14" t="n"/>
      <c r="E155" s="12" t="n"/>
      <c r="F155" s="14" t="n"/>
      <c r="G155" s="14" t="n"/>
    </row>
    <row r="156" ht="24" customHeight="1">
      <c r="A156" s="9">
        <f>IF(Roster!A64="","",Roster!A64)</f>
        <v/>
      </c>
      <c r="E156" s="9">
        <f>IF(Roster!A65="","",Roster!A65)</f>
        <v/>
      </c>
    </row>
    <row r="157" ht="24" customHeight="1">
      <c r="A157" s="10">
        <f>IF(Roster!A64="","","Period "&amp;Roster!B64&amp;"   ·   Student number "&amp;Roster!C64)</f>
        <v/>
      </c>
      <c r="E157" s="10">
        <f>IF(Roster!A65="","","Period "&amp;Roster!B65&amp;"   ·   Student number "&amp;Roster!C65)</f>
        <v/>
      </c>
    </row>
    <row r="158" ht="18" customHeight="1">
      <c r="A158" s="11">
        <f>IF(Roster!A64="","","Open: "&amp;Settings!$B$1)</f>
        <v/>
      </c>
      <c r="E158" s="11">
        <f>IF(Roster!A65="","","Open: "&amp;Settings!$B$1)</f>
        <v/>
      </c>
    </row>
    <row r="159" ht="30" customHeight="1">
      <c r="A159" s="11">
        <f>IF(Roster!A64="","","Tap Sign in, type your period and number, then sign in with your school Google account.")</f>
        <v/>
      </c>
      <c r="E159" s="11">
        <f>IF(Roster!A65="","","Tap Sign in, type your period and number, then sign in with your school Google account.")</f>
        <v/>
      </c>
    </row>
    <row r="160" ht="10" customHeight="1">
      <c r="A160" s="12" t="n"/>
      <c r="B160" s="14" t="n"/>
      <c r="C160" s="14" t="n"/>
      <c r="E160" s="12" t="n"/>
      <c r="F160" s="14" t="n"/>
      <c r="G160" s="14" t="n"/>
    </row>
    <row r="161" ht="24" customHeight="1">
      <c r="A161" s="9">
        <f>IF(Roster!A66="","",Roster!A66)</f>
        <v/>
      </c>
      <c r="E161" s="9">
        <f>IF(Roster!A67="","",Roster!A67)</f>
        <v/>
      </c>
    </row>
    <row r="162" ht="24" customHeight="1">
      <c r="A162" s="10">
        <f>IF(Roster!A66="","","Period "&amp;Roster!B66&amp;"   ·   Student number "&amp;Roster!C66)</f>
        <v/>
      </c>
      <c r="E162" s="10">
        <f>IF(Roster!A67="","","Period "&amp;Roster!B67&amp;"   ·   Student number "&amp;Roster!C67)</f>
        <v/>
      </c>
    </row>
    <row r="163" ht="18" customHeight="1">
      <c r="A163" s="11">
        <f>IF(Roster!A66="","","Open: "&amp;Settings!$B$1)</f>
        <v/>
      </c>
      <c r="E163" s="11">
        <f>IF(Roster!A67="","","Open: "&amp;Settings!$B$1)</f>
        <v/>
      </c>
    </row>
    <row r="164" ht="30" customHeight="1">
      <c r="A164" s="11">
        <f>IF(Roster!A66="","","Tap Sign in, type your period and number, then sign in with your school Google account.")</f>
        <v/>
      </c>
      <c r="E164" s="11">
        <f>IF(Roster!A67="","","Tap Sign in, type your period and number, then sign in with your school Google account.")</f>
        <v/>
      </c>
    </row>
    <row r="165" ht="10" customHeight="1">
      <c r="A165" s="12" t="n"/>
      <c r="B165" s="14" t="n"/>
      <c r="C165" s="14" t="n"/>
      <c r="E165" s="12" t="n"/>
      <c r="F165" s="14" t="n"/>
      <c r="G165" s="14" t="n"/>
    </row>
    <row r="166" ht="24" customHeight="1">
      <c r="A166" s="9">
        <f>IF(Roster!A68="","",Roster!A68)</f>
        <v/>
      </c>
      <c r="E166" s="9">
        <f>IF(Roster!A69="","",Roster!A69)</f>
        <v/>
      </c>
    </row>
    <row r="167" ht="24" customHeight="1">
      <c r="A167" s="10">
        <f>IF(Roster!A68="","","Period "&amp;Roster!B68&amp;"   ·   Student number "&amp;Roster!C68)</f>
        <v/>
      </c>
      <c r="E167" s="10">
        <f>IF(Roster!A69="","","Period "&amp;Roster!B69&amp;"   ·   Student number "&amp;Roster!C69)</f>
        <v/>
      </c>
    </row>
    <row r="168" ht="18" customHeight="1">
      <c r="A168" s="11">
        <f>IF(Roster!A68="","","Open: "&amp;Settings!$B$1)</f>
        <v/>
      </c>
      <c r="E168" s="11">
        <f>IF(Roster!A69="","","Open: "&amp;Settings!$B$1)</f>
        <v/>
      </c>
    </row>
    <row r="169" ht="30" customHeight="1">
      <c r="A169" s="11">
        <f>IF(Roster!A68="","","Tap Sign in, type your period and number, then sign in with your school Google account.")</f>
        <v/>
      </c>
      <c r="E169" s="11">
        <f>IF(Roster!A69="","","Tap Sign in, type your period and number, then sign in with your school Google account.")</f>
        <v/>
      </c>
    </row>
    <row r="170" ht="10" customHeight="1">
      <c r="A170" s="12" t="n"/>
      <c r="B170" s="14" t="n"/>
      <c r="C170" s="14" t="n"/>
      <c r="E170" s="12" t="n"/>
      <c r="F170" s="14" t="n"/>
      <c r="G170" s="14" t="n"/>
    </row>
    <row r="171" ht="24" customHeight="1">
      <c r="A171" s="9">
        <f>IF(Roster!A70="","",Roster!A70)</f>
        <v/>
      </c>
      <c r="E171" s="9">
        <f>IF(Roster!A71="","",Roster!A71)</f>
        <v/>
      </c>
    </row>
    <row r="172" ht="24" customHeight="1">
      <c r="A172" s="10">
        <f>IF(Roster!A70="","","Period "&amp;Roster!B70&amp;"   ·   Student number "&amp;Roster!C70)</f>
        <v/>
      </c>
      <c r="E172" s="10">
        <f>IF(Roster!A71="","","Period "&amp;Roster!B71&amp;"   ·   Student number "&amp;Roster!C71)</f>
        <v/>
      </c>
    </row>
    <row r="173" ht="18" customHeight="1">
      <c r="A173" s="11">
        <f>IF(Roster!A70="","","Open: "&amp;Settings!$B$1)</f>
        <v/>
      </c>
      <c r="E173" s="11">
        <f>IF(Roster!A71="","","Open: "&amp;Settings!$B$1)</f>
        <v/>
      </c>
    </row>
    <row r="174" ht="30" customHeight="1">
      <c r="A174" s="11">
        <f>IF(Roster!A70="","","Tap Sign in, type your period and number, then sign in with your school Google account.")</f>
        <v/>
      </c>
      <c r="E174" s="11">
        <f>IF(Roster!A71="","","Tap Sign in, type your period and number, then sign in with your school Google account.")</f>
        <v/>
      </c>
    </row>
    <row r="175" ht="10" customHeight="1">
      <c r="A175" s="12" t="n"/>
      <c r="B175" s="14" t="n"/>
      <c r="C175" s="14" t="n"/>
      <c r="E175" s="12" t="n"/>
      <c r="F175" s="14" t="n"/>
      <c r="G175" s="14" t="n"/>
    </row>
    <row r="176" ht="24" customHeight="1">
      <c r="A176" s="9">
        <f>IF(Roster!A72="","",Roster!A72)</f>
        <v/>
      </c>
      <c r="E176" s="9">
        <f>IF(Roster!A73="","",Roster!A73)</f>
        <v/>
      </c>
    </row>
    <row r="177" ht="24" customHeight="1">
      <c r="A177" s="10">
        <f>IF(Roster!A72="","","Period "&amp;Roster!B72&amp;"   ·   Student number "&amp;Roster!C72)</f>
        <v/>
      </c>
      <c r="E177" s="10">
        <f>IF(Roster!A73="","","Period "&amp;Roster!B73&amp;"   ·   Student number "&amp;Roster!C73)</f>
        <v/>
      </c>
    </row>
    <row r="178" ht="18" customHeight="1">
      <c r="A178" s="11">
        <f>IF(Roster!A72="","","Open: "&amp;Settings!$B$1)</f>
        <v/>
      </c>
      <c r="E178" s="11">
        <f>IF(Roster!A73="","","Open: "&amp;Settings!$B$1)</f>
        <v/>
      </c>
    </row>
    <row r="179" ht="30" customHeight="1">
      <c r="A179" s="11">
        <f>IF(Roster!A72="","","Tap Sign in, type your period and number, then sign in with your school Google account.")</f>
        <v/>
      </c>
      <c r="E179" s="11">
        <f>IF(Roster!A73="","","Tap Sign in, type your period and number, then sign in with your school Google account.")</f>
        <v/>
      </c>
    </row>
    <row r="180" ht="10" customHeight="1">
      <c r="A180" s="12" t="n"/>
      <c r="B180" s="14" t="n"/>
      <c r="C180" s="14" t="n"/>
      <c r="E180" s="12" t="n"/>
      <c r="F180" s="14" t="n"/>
      <c r="G180" s="14" t="n"/>
    </row>
    <row r="181" ht="24" customHeight="1">
      <c r="A181" s="9">
        <f>IF(Roster!A74="","",Roster!A74)</f>
        <v/>
      </c>
      <c r="E181" s="9">
        <f>IF(Roster!A75="","",Roster!A75)</f>
        <v/>
      </c>
    </row>
    <row r="182" ht="24" customHeight="1">
      <c r="A182" s="10">
        <f>IF(Roster!A74="","","Period "&amp;Roster!B74&amp;"   ·   Student number "&amp;Roster!C74)</f>
        <v/>
      </c>
      <c r="E182" s="10">
        <f>IF(Roster!A75="","","Period "&amp;Roster!B75&amp;"   ·   Student number "&amp;Roster!C75)</f>
        <v/>
      </c>
    </row>
    <row r="183" ht="18" customHeight="1">
      <c r="A183" s="11">
        <f>IF(Roster!A74="","","Open: "&amp;Settings!$B$1)</f>
        <v/>
      </c>
      <c r="E183" s="11">
        <f>IF(Roster!A75="","","Open: "&amp;Settings!$B$1)</f>
        <v/>
      </c>
    </row>
    <row r="184" ht="30" customHeight="1">
      <c r="A184" s="11">
        <f>IF(Roster!A74="","","Tap Sign in, type your period and number, then sign in with your school Google account.")</f>
        <v/>
      </c>
      <c r="E184" s="11">
        <f>IF(Roster!A75="","","Tap Sign in, type your period and number, then sign in with your school Google account.")</f>
        <v/>
      </c>
    </row>
    <row r="185" ht="10" customHeight="1">
      <c r="A185" s="12" t="n"/>
      <c r="B185" s="14" t="n"/>
      <c r="C185" s="14" t="n"/>
      <c r="E185" s="12" t="n"/>
      <c r="F185" s="14" t="n"/>
      <c r="G185" s="14" t="n"/>
    </row>
    <row r="186" ht="24" customHeight="1">
      <c r="A186" s="9">
        <f>IF(Roster!A76="","",Roster!A76)</f>
        <v/>
      </c>
      <c r="E186" s="9">
        <f>IF(Roster!A77="","",Roster!A77)</f>
        <v/>
      </c>
    </row>
    <row r="187" ht="24" customHeight="1">
      <c r="A187" s="10">
        <f>IF(Roster!A76="","","Period "&amp;Roster!B76&amp;"   ·   Student number "&amp;Roster!C76)</f>
        <v/>
      </c>
      <c r="E187" s="10">
        <f>IF(Roster!A77="","","Period "&amp;Roster!B77&amp;"   ·   Student number "&amp;Roster!C77)</f>
        <v/>
      </c>
    </row>
    <row r="188" ht="18" customHeight="1">
      <c r="A188" s="11">
        <f>IF(Roster!A76="","","Open: "&amp;Settings!$B$1)</f>
        <v/>
      </c>
      <c r="E188" s="11">
        <f>IF(Roster!A77="","","Open: "&amp;Settings!$B$1)</f>
        <v/>
      </c>
    </row>
    <row r="189" ht="30" customHeight="1">
      <c r="A189" s="11">
        <f>IF(Roster!A76="","","Tap Sign in, type your period and number, then sign in with your school Google account.")</f>
        <v/>
      </c>
      <c r="E189" s="11">
        <f>IF(Roster!A77="","","Tap Sign in, type your period and number, then sign in with your school Google account.")</f>
        <v/>
      </c>
    </row>
    <row r="190" ht="10" customHeight="1">
      <c r="A190" s="12" t="n"/>
      <c r="B190" s="14" t="n"/>
      <c r="C190" s="14" t="n"/>
      <c r="E190" s="12" t="n"/>
      <c r="F190" s="14" t="n"/>
      <c r="G190" s="14" t="n"/>
    </row>
    <row r="191" ht="24" customHeight="1">
      <c r="A191" s="9">
        <f>IF(Roster!A78="","",Roster!A78)</f>
        <v/>
      </c>
      <c r="E191" s="9">
        <f>IF(Roster!A79="","",Roster!A79)</f>
        <v/>
      </c>
    </row>
    <row r="192" ht="24" customHeight="1">
      <c r="A192" s="10">
        <f>IF(Roster!A78="","","Period "&amp;Roster!B78&amp;"   ·   Student number "&amp;Roster!C78)</f>
        <v/>
      </c>
      <c r="E192" s="10">
        <f>IF(Roster!A79="","","Period "&amp;Roster!B79&amp;"   ·   Student number "&amp;Roster!C79)</f>
        <v/>
      </c>
    </row>
    <row r="193" ht="18" customHeight="1">
      <c r="A193" s="11">
        <f>IF(Roster!A78="","","Open: "&amp;Settings!$B$1)</f>
        <v/>
      </c>
      <c r="E193" s="11">
        <f>IF(Roster!A79="","","Open: "&amp;Settings!$B$1)</f>
        <v/>
      </c>
    </row>
    <row r="194" ht="30" customHeight="1">
      <c r="A194" s="11">
        <f>IF(Roster!A78="","","Tap Sign in, type your period and number, then sign in with your school Google account.")</f>
        <v/>
      </c>
      <c r="E194" s="11">
        <f>IF(Roster!A79="","","Tap Sign in, type your period and number, then sign in with your school Google account.")</f>
        <v/>
      </c>
    </row>
    <row r="195" ht="10" customHeight="1">
      <c r="A195" s="12" t="n"/>
      <c r="B195" s="14" t="n"/>
      <c r="C195" s="14" t="n"/>
      <c r="E195" s="12" t="n"/>
      <c r="F195" s="14" t="n"/>
      <c r="G195" s="14" t="n"/>
    </row>
    <row r="196" ht="24" customHeight="1">
      <c r="A196" s="9">
        <f>IF(Roster!A80="","",Roster!A80)</f>
        <v/>
      </c>
      <c r="E196" s="9">
        <f>IF(Roster!A81="","",Roster!A81)</f>
        <v/>
      </c>
    </row>
    <row r="197" ht="24" customHeight="1">
      <c r="A197" s="10">
        <f>IF(Roster!A80="","","Period "&amp;Roster!B80&amp;"   ·   Student number "&amp;Roster!C80)</f>
        <v/>
      </c>
      <c r="E197" s="10">
        <f>IF(Roster!A81="","","Period "&amp;Roster!B81&amp;"   ·   Student number "&amp;Roster!C81)</f>
        <v/>
      </c>
    </row>
    <row r="198" ht="18" customHeight="1">
      <c r="A198" s="11">
        <f>IF(Roster!A80="","","Open: "&amp;Settings!$B$1)</f>
        <v/>
      </c>
      <c r="E198" s="11">
        <f>IF(Roster!A81="","","Open: "&amp;Settings!$B$1)</f>
        <v/>
      </c>
    </row>
    <row r="199" ht="30" customHeight="1">
      <c r="A199" s="11">
        <f>IF(Roster!A80="","","Tap Sign in, type your period and number, then sign in with your school Google account.")</f>
        <v/>
      </c>
      <c r="E199" s="11">
        <f>IF(Roster!A81="","","Tap Sign in, type your period and number, then sign in with your school Google account.")</f>
        <v/>
      </c>
    </row>
    <row r="200" ht="10" customHeight="1">
      <c r="A200" s="12" t="n"/>
      <c r="B200" s="14" t="n"/>
      <c r="C200" s="14" t="n"/>
      <c r="E200" s="12" t="n"/>
      <c r="F200" s="14" t="n"/>
      <c r="G200" s="14" t="n"/>
    </row>
    <row r="201" ht="24" customHeight="1">
      <c r="A201" s="9">
        <f>IF(Roster!A82="","",Roster!A82)</f>
        <v/>
      </c>
      <c r="E201" s="9">
        <f>IF(Roster!A83="","",Roster!A83)</f>
        <v/>
      </c>
    </row>
    <row r="202" ht="24" customHeight="1">
      <c r="A202" s="10">
        <f>IF(Roster!A82="","","Period "&amp;Roster!B82&amp;"   ·   Student number "&amp;Roster!C82)</f>
        <v/>
      </c>
      <c r="E202" s="10">
        <f>IF(Roster!A83="","","Period "&amp;Roster!B83&amp;"   ·   Student number "&amp;Roster!C83)</f>
        <v/>
      </c>
    </row>
    <row r="203" ht="18" customHeight="1">
      <c r="A203" s="11">
        <f>IF(Roster!A82="","","Open: "&amp;Settings!$B$1)</f>
        <v/>
      </c>
      <c r="E203" s="11">
        <f>IF(Roster!A83="","","Open: "&amp;Settings!$B$1)</f>
        <v/>
      </c>
    </row>
    <row r="204" ht="30" customHeight="1">
      <c r="A204" s="11">
        <f>IF(Roster!A82="","","Tap Sign in, type your period and number, then sign in with your school Google account.")</f>
        <v/>
      </c>
      <c r="E204" s="11">
        <f>IF(Roster!A83="","","Tap Sign in, type your period and number, then sign in with your school Google account.")</f>
        <v/>
      </c>
    </row>
    <row r="205" ht="10" customHeight="1">
      <c r="A205" s="12" t="n"/>
      <c r="B205" s="14" t="n"/>
      <c r="C205" s="14" t="n"/>
      <c r="E205" s="12" t="n"/>
      <c r="F205" s="14" t="n"/>
      <c r="G205" s="14" t="n"/>
    </row>
    <row r="206" ht="24" customHeight="1">
      <c r="A206" s="9">
        <f>IF(Roster!A84="","",Roster!A84)</f>
        <v/>
      </c>
      <c r="E206" s="9">
        <f>IF(Roster!A85="","",Roster!A85)</f>
        <v/>
      </c>
    </row>
    <row r="207" ht="24" customHeight="1">
      <c r="A207" s="10">
        <f>IF(Roster!A84="","","Period "&amp;Roster!B84&amp;"   ·   Student number "&amp;Roster!C84)</f>
        <v/>
      </c>
      <c r="E207" s="10">
        <f>IF(Roster!A85="","","Period "&amp;Roster!B85&amp;"   ·   Student number "&amp;Roster!C85)</f>
        <v/>
      </c>
    </row>
    <row r="208" ht="18" customHeight="1">
      <c r="A208" s="11">
        <f>IF(Roster!A84="","","Open: "&amp;Settings!$B$1)</f>
        <v/>
      </c>
      <c r="E208" s="11">
        <f>IF(Roster!A85="","","Open: "&amp;Settings!$B$1)</f>
        <v/>
      </c>
    </row>
    <row r="209" ht="30" customHeight="1">
      <c r="A209" s="11">
        <f>IF(Roster!A84="","","Tap Sign in, type your period and number, then sign in with your school Google account.")</f>
        <v/>
      </c>
      <c r="E209" s="11">
        <f>IF(Roster!A85="","","Tap Sign in, type your period and number, then sign in with your school Google account.")</f>
        <v/>
      </c>
    </row>
    <row r="210" ht="10" customHeight="1">
      <c r="A210" s="12" t="n"/>
      <c r="B210" s="14" t="n"/>
      <c r="C210" s="14" t="n"/>
      <c r="E210" s="12" t="n"/>
      <c r="F210" s="14" t="n"/>
      <c r="G210" s="14" t="n"/>
    </row>
    <row r="211" ht="24" customHeight="1">
      <c r="A211" s="9">
        <f>IF(Roster!A86="","",Roster!A86)</f>
        <v/>
      </c>
      <c r="E211" s="9">
        <f>IF(Roster!A87="","",Roster!A87)</f>
        <v/>
      </c>
    </row>
    <row r="212" ht="24" customHeight="1">
      <c r="A212" s="10">
        <f>IF(Roster!A86="","","Period "&amp;Roster!B86&amp;"   ·   Student number "&amp;Roster!C86)</f>
        <v/>
      </c>
      <c r="E212" s="10">
        <f>IF(Roster!A87="","","Period "&amp;Roster!B87&amp;"   ·   Student number "&amp;Roster!C87)</f>
        <v/>
      </c>
    </row>
    <row r="213" ht="18" customHeight="1">
      <c r="A213" s="11">
        <f>IF(Roster!A86="","","Open: "&amp;Settings!$B$1)</f>
        <v/>
      </c>
      <c r="E213" s="11">
        <f>IF(Roster!A87="","","Open: "&amp;Settings!$B$1)</f>
        <v/>
      </c>
    </row>
    <row r="214" ht="30" customHeight="1">
      <c r="A214" s="11">
        <f>IF(Roster!A86="","","Tap Sign in, type your period and number, then sign in with your school Google account.")</f>
        <v/>
      </c>
      <c r="E214" s="11">
        <f>IF(Roster!A87="","","Tap Sign in, type your period and number, then sign in with your school Google account.")</f>
        <v/>
      </c>
    </row>
    <row r="215" ht="10" customHeight="1">
      <c r="A215" s="12" t="n"/>
      <c r="B215" s="14" t="n"/>
      <c r="C215" s="14" t="n"/>
      <c r="E215" s="12" t="n"/>
      <c r="F215" s="14" t="n"/>
      <c r="G215" s="14" t="n"/>
    </row>
    <row r="216" ht="24" customHeight="1">
      <c r="A216" s="9">
        <f>IF(Roster!A88="","",Roster!A88)</f>
        <v/>
      </c>
      <c r="E216" s="9">
        <f>IF(Roster!A89="","",Roster!A89)</f>
        <v/>
      </c>
    </row>
    <row r="217" ht="24" customHeight="1">
      <c r="A217" s="10">
        <f>IF(Roster!A88="","","Period "&amp;Roster!B88&amp;"   ·   Student number "&amp;Roster!C88)</f>
        <v/>
      </c>
      <c r="E217" s="10">
        <f>IF(Roster!A89="","","Period "&amp;Roster!B89&amp;"   ·   Student number "&amp;Roster!C89)</f>
        <v/>
      </c>
    </row>
    <row r="218" ht="18" customHeight="1">
      <c r="A218" s="11">
        <f>IF(Roster!A88="","","Open: "&amp;Settings!$B$1)</f>
        <v/>
      </c>
      <c r="E218" s="11">
        <f>IF(Roster!A89="","","Open: "&amp;Settings!$B$1)</f>
        <v/>
      </c>
    </row>
    <row r="219" ht="30" customHeight="1">
      <c r="A219" s="11">
        <f>IF(Roster!A88="","","Tap Sign in, type your period and number, then sign in with your school Google account.")</f>
        <v/>
      </c>
      <c r="E219" s="11">
        <f>IF(Roster!A89="","","Tap Sign in, type your period and number, then sign in with your school Google account.")</f>
        <v/>
      </c>
    </row>
    <row r="220" ht="10" customHeight="1">
      <c r="A220" s="12" t="n"/>
      <c r="B220" s="14" t="n"/>
      <c r="C220" s="14" t="n"/>
      <c r="E220" s="12" t="n"/>
      <c r="F220" s="14" t="n"/>
      <c r="G220" s="14" t="n"/>
    </row>
    <row r="221" ht="24" customHeight="1">
      <c r="A221" s="9">
        <f>IF(Roster!A90="","",Roster!A90)</f>
        <v/>
      </c>
      <c r="E221" s="9">
        <f>IF(Roster!A91="","",Roster!A91)</f>
        <v/>
      </c>
    </row>
    <row r="222" ht="24" customHeight="1">
      <c r="A222" s="10">
        <f>IF(Roster!A90="","","Period "&amp;Roster!B90&amp;"   ·   Student number "&amp;Roster!C90)</f>
        <v/>
      </c>
      <c r="E222" s="10">
        <f>IF(Roster!A91="","","Period "&amp;Roster!B91&amp;"   ·   Student number "&amp;Roster!C91)</f>
        <v/>
      </c>
    </row>
    <row r="223" ht="18" customHeight="1">
      <c r="A223" s="11">
        <f>IF(Roster!A90="","","Open: "&amp;Settings!$B$1)</f>
        <v/>
      </c>
      <c r="E223" s="11">
        <f>IF(Roster!A91="","","Open: "&amp;Settings!$B$1)</f>
        <v/>
      </c>
    </row>
    <row r="224" ht="30" customHeight="1">
      <c r="A224" s="11">
        <f>IF(Roster!A90="","","Tap Sign in, type your period and number, then sign in with your school Google account.")</f>
        <v/>
      </c>
      <c r="E224" s="11">
        <f>IF(Roster!A91="","","Tap Sign in, type your period and number, then sign in with your school Google account.")</f>
        <v/>
      </c>
    </row>
    <row r="225" ht="10" customHeight="1">
      <c r="A225" s="12" t="n"/>
      <c r="B225" s="14" t="n"/>
      <c r="C225" s="14" t="n"/>
      <c r="E225" s="12" t="n"/>
      <c r="F225" s="14" t="n"/>
      <c r="G225" s="14" t="n"/>
    </row>
    <row r="226" ht="24" customHeight="1">
      <c r="A226" s="9">
        <f>IF(Roster!A92="","",Roster!A92)</f>
        <v/>
      </c>
      <c r="E226" s="9">
        <f>IF(Roster!A93="","",Roster!A93)</f>
        <v/>
      </c>
    </row>
    <row r="227" ht="24" customHeight="1">
      <c r="A227" s="10">
        <f>IF(Roster!A92="","","Period "&amp;Roster!B92&amp;"   ·   Student number "&amp;Roster!C92)</f>
        <v/>
      </c>
      <c r="E227" s="10">
        <f>IF(Roster!A93="","","Period "&amp;Roster!B93&amp;"   ·   Student number "&amp;Roster!C93)</f>
        <v/>
      </c>
    </row>
    <row r="228" ht="18" customHeight="1">
      <c r="A228" s="11">
        <f>IF(Roster!A92="","","Open: "&amp;Settings!$B$1)</f>
        <v/>
      </c>
      <c r="E228" s="11">
        <f>IF(Roster!A93="","","Open: "&amp;Settings!$B$1)</f>
        <v/>
      </c>
    </row>
    <row r="229" ht="30" customHeight="1">
      <c r="A229" s="11">
        <f>IF(Roster!A92="","","Tap Sign in, type your period and number, then sign in with your school Google account.")</f>
        <v/>
      </c>
      <c r="E229" s="11">
        <f>IF(Roster!A93="","","Tap Sign in, type your period and number, then sign in with your school Google account.")</f>
        <v/>
      </c>
    </row>
    <row r="230" ht="10" customHeight="1">
      <c r="A230" s="12" t="n"/>
      <c r="B230" s="14" t="n"/>
      <c r="C230" s="14" t="n"/>
      <c r="E230" s="12" t="n"/>
      <c r="F230" s="14" t="n"/>
      <c r="G230" s="14" t="n"/>
    </row>
    <row r="231" ht="24" customHeight="1">
      <c r="A231" s="9">
        <f>IF(Roster!A94="","",Roster!A94)</f>
        <v/>
      </c>
      <c r="E231" s="9">
        <f>IF(Roster!A95="","",Roster!A95)</f>
        <v/>
      </c>
    </row>
    <row r="232" ht="24" customHeight="1">
      <c r="A232" s="10">
        <f>IF(Roster!A94="","","Period "&amp;Roster!B94&amp;"   ·   Student number "&amp;Roster!C94)</f>
        <v/>
      </c>
      <c r="E232" s="10">
        <f>IF(Roster!A95="","","Period "&amp;Roster!B95&amp;"   ·   Student number "&amp;Roster!C95)</f>
        <v/>
      </c>
    </row>
    <row r="233" ht="18" customHeight="1">
      <c r="A233" s="11">
        <f>IF(Roster!A94="","","Open: "&amp;Settings!$B$1)</f>
        <v/>
      </c>
      <c r="E233" s="11">
        <f>IF(Roster!A95="","","Open: "&amp;Settings!$B$1)</f>
        <v/>
      </c>
    </row>
    <row r="234" ht="30" customHeight="1">
      <c r="A234" s="11">
        <f>IF(Roster!A94="","","Tap Sign in, type your period and number, then sign in with your school Google account.")</f>
        <v/>
      </c>
      <c r="E234" s="11">
        <f>IF(Roster!A95="","","Tap Sign in, type your period and number, then sign in with your school Google account.")</f>
        <v/>
      </c>
    </row>
    <row r="235" ht="10" customHeight="1">
      <c r="A235" s="12" t="n"/>
      <c r="B235" s="14" t="n"/>
      <c r="C235" s="14" t="n"/>
      <c r="E235" s="12" t="n"/>
      <c r="F235" s="14" t="n"/>
      <c r="G235" s="14" t="n"/>
    </row>
    <row r="236" ht="24" customHeight="1">
      <c r="A236" s="9">
        <f>IF(Roster!A96="","",Roster!A96)</f>
        <v/>
      </c>
      <c r="E236" s="9">
        <f>IF(Roster!A97="","",Roster!A97)</f>
        <v/>
      </c>
    </row>
    <row r="237" ht="24" customHeight="1">
      <c r="A237" s="10">
        <f>IF(Roster!A96="","","Period "&amp;Roster!B96&amp;"   ·   Student number "&amp;Roster!C96)</f>
        <v/>
      </c>
      <c r="E237" s="10">
        <f>IF(Roster!A97="","","Period "&amp;Roster!B97&amp;"   ·   Student number "&amp;Roster!C97)</f>
        <v/>
      </c>
    </row>
    <row r="238" ht="18" customHeight="1">
      <c r="A238" s="11">
        <f>IF(Roster!A96="","","Open: "&amp;Settings!$B$1)</f>
        <v/>
      </c>
      <c r="E238" s="11">
        <f>IF(Roster!A97="","","Open: "&amp;Settings!$B$1)</f>
        <v/>
      </c>
    </row>
    <row r="239" ht="30" customHeight="1">
      <c r="A239" s="11">
        <f>IF(Roster!A96="","","Tap Sign in, type your period and number, then sign in with your school Google account.")</f>
        <v/>
      </c>
      <c r="E239" s="11">
        <f>IF(Roster!A97="","","Tap Sign in, type your period and number, then sign in with your school Google account.")</f>
        <v/>
      </c>
    </row>
    <row r="240" ht="10" customHeight="1">
      <c r="A240" s="12" t="n"/>
      <c r="B240" s="14" t="n"/>
      <c r="C240" s="14" t="n"/>
      <c r="E240" s="12" t="n"/>
      <c r="F240" s="14" t="n"/>
      <c r="G240" s="14" t="n"/>
    </row>
    <row r="241" ht="24" customHeight="1">
      <c r="A241" s="9">
        <f>IF(Roster!A98="","",Roster!A98)</f>
        <v/>
      </c>
      <c r="E241" s="9">
        <f>IF(Roster!A99="","",Roster!A99)</f>
        <v/>
      </c>
    </row>
    <row r="242" ht="24" customHeight="1">
      <c r="A242" s="10">
        <f>IF(Roster!A98="","","Period "&amp;Roster!B98&amp;"   ·   Student number "&amp;Roster!C98)</f>
        <v/>
      </c>
      <c r="E242" s="10">
        <f>IF(Roster!A99="","","Period "&amp;Roster!B99&amp;"   ·   Student number "&amp;Roster!C99)</f>
        <v/>
      </c>
    </row>
    <row r="243" ht="18" customHeight="1">
      <c r="A243" s="11">
        <f>IF(Roster!A98="","","Open: "&amp;Settings!$B$1)</f>
        <v/>
      </c>
      <c r="E243" s="11">
        <f>IF(Roster!A99="","","Open: "&amp;Settings!$B$1)</f>
        <v/>
      </c>
    </row>
    <row r="244" ht="30" customHeight="1">
      <c r="A244" s="11">
        <f>IF(Roster!A98="","","Tap Sign in, type your period and number, then sign in with your school Google account.")</f>
        <v/>
      </c>
      <c r="E244" s="11">
        <f>IF(Roster!A99="","","Tap Sign in, type your period and number, then sign in with your school Google account.")</f>
        <v/>
      </c>
    </row>
    <row r="245" ht="10" customHeight="1">
      <c r="A245" s="12" t="n"/>
      <c r="B245" s="14" t="n"/>
      <c r="C245" s="14" t="n"/>
      <c r="E245" s="12" t="n"/>
      <c r="F245" s="14" t="n"/>
      <c r="G245" s="14" t="n"/>
    </row>
    <row r="246" ht="24" customHeight="1">
      <c r="A246" s="9">
        <f>IF(Roster!A100="","",Roster!A100)</f>
        <v/>
      </c>
      <c r="E246" s="9">
        <f>IF(Roster!A101="","",Roster!A101)</f>
        <v/>
      </c>
    </row>
    <row r="247" ht="24" customHeight="1">
      <c r="A247" s="10">
        <f>IF(Roster!A100="","","Period "&amp;Roster!B100&amp;"   ·   Student number "&amp;Roster!C100)</f>
        <v/>
      </c>
      <c r="E247" s="10">
        <f>IF(Roster!A101="","","Period "&amp;Roster!B101&amp;"   ·   Student number "&amp;Roster!C101)</f>
        <v/>
      </c>
    </row>
    <row r="248" ht="18" customHeight="1">
      <c r="A248" s="11">
        <f>IF(Roster!A100="","","Open: "&amp;Settings!$B$1)</f>
        <v/>
      </c>
      <c r="E248" s="11">
        <f>IF(Roster!A101="","","Open: "&amp;Settings!$B$1)</f>
        <v/>
      </c>
    </row>
    <row r="249" ht="30" customHeight="1">
      <c r="A249" s="11">
        <f>IF(Roster!A100="","","Tap Sign in, type your period and number, then sign in with your school Google account.")</f>
        <v/>
      </c>
      <c r="E249" s="11">
        <f>IF(Roster!A101="","","Tap Sign in, type your period and number, then sign in with your school Google account.")</f>
        <v/>
      </c>
    </row>
    <row r="250" ht="10" customHeight="1">
      <c r="A250" s="12" t="n"/>
      <c r="B250" s="14" t="n"/>
      <c r="C250" s="14" t="n"/>
      <c r="E250" s="12" t="n"/>
      <c r="F250" s="14" t="n"/>
      <c r="G250" s="14" t="n"/>
    </row>
    <row r="251" ht="24" customHeight="1">
      <c r="A251" s="9">
        <f>IF(Roster!A102="","",Roster!A102)</f>
        <v/>
      </c>
      <c r="E251" s="9">
        <f>IF(Roster!A103="","",Roster!A103)</f>
        <v/>
      </c>
    </row>
    <row r="252" ht="24" customHeight="1">
      <c r="A252" s="10">
        <f>IF(Roster!A102="","","Period "&amp;Roster!B102&amp;"   ·   Student number "&amp;Roster!C102)</f>
        <v/>
      </c>
      <c r="E252" s="10">
        <f>IF(Roster!A103="","","Period "&amp;Roster!B103&amp;"   ·   Student number "&amp;Roster!C103)</f>
        <v/>
      </c>
    </row>
    <row r="253" ht="18" customHeight="1">
      <c r="A253" s="11">
        <f>IF(Roster!A102="","","Open: "&amp;Settings!$B$1)</f>
        <v/>
      </c>
      <c r="E253" s="11">
        <f>IF(Roster!A103="","","Open: "&amp;Settings!$B$1)</f>
        <v/>
      </c>
    </row>
    <row r="254" ht="30" customHeight="1">
      <c r="A254" s="11">
        <f>IF(Roster!A102="","","Tap Sign in, type your period and number, then sign in with your school Google account.")</f>
        <v/>
      </c>
      <c r="E254" s="11">
        <f>IF(Roster!A103="","","Tap Sign in, type your period and number, then sign in with your school Google account.")</f>
        <v/>
      </c>
    </row>
    <row r="255" ht="10" customHeight="1">
      <c r="A255" s="12" t="n"/>
      <c r="B255" s="14" t="n"/>
      <c r="C255" s="14" t="n"/>
      <c r="E255" s="12" t="n"/>
      <c r="F255" s="14" t="n"/>
      <c r="G255" s="14" t="n"/>
    </row>
    <row r="256" ht="24" customHeight="1">
      <c r="A256" s="9">
        <f>IF(Roster!A104="","",Roster!A104)</f>
        <v/>
      </c>
      <c r="E256" s="9">
        <f>IF(Roster!A105="","",Roster!A105)</f>
        <v/>
      </c>
    </row>
    <row r="257" ht="24" customHeight="1">
      <c r="A257" s="10">
        <f>IF(Roster!A104="","","Period "&amp;Roster!B104&amp;"   ·   Student number "&amp;Roster!C104)</f>
        <v/>
      </c>
      <c r="E257" s="10">
        <f>IF(Roster!A105="","","Period "&amp;Roster!B105&amp;"   ·   Student number "&amp;Roster!C105)</f>
        <v/>
      </c>
    </row>
    <row r="258" ht="18" customHeight="1">
      <c r="A258" s="11">
        <f>IF(Roster!A104="","","Open: "&amp;Settings!$B$1)</f>
        <v/>
      </c>
      <c r="E258" s="11">
        <f>IF(Roster!A105="","","Open: "&amp;Settings!$B$1)</f>
        <v/>
      </c>
    </row>
    <row r="259" ht="30" customHeight="1">
      <c r="A259" s="11">
        <f>IF(Roster!A104="","","Tap Sign in, type your period and number, then sign in with your school Google account.")</f>
        <v/>
      </c>
      <c r="E259" s="11">
        <f>IF(Roster!A105="","","Tap Sign in, type your period and number, then sign in with your school Google account.")</f>
        <v/>
      </c>
    </row>
    <row r="260" ht="10" customHeight="1">
      <c r="A260" s="12" t="n"/>
      <c r="B260" s="14" t="n"/>
      <c r="C260" s="14" t="n"/>
      <c r="E260" s="12" t="n"/>
      <c r="F260" s="14" t="n"/>
      <c r="G260" s="14" t="n"/>
    </row>
    <row r="261" ht="24" customHeight="1">
      <c r="A261" s="9">
        <f>IF(Roster!A106="","",Roster!A106)</f>
        <v/>
      </c>
      <c r="E261" s="9">
        <f>IF(Roster!A107="","",Roster!A107)</f>
        <v/>
      </c>
    </row>
    <row r="262" ht="24" customHeight="1">
      <c r="A262" s="10">
        <f>IF(Roster!A106="","","Period "&amp;Roster!B106&amp;"   ·   Student number "&amp;Roster!C106)</f>
        <v/>
      </c>
      <c r="E262" s="10">
        <f>IF(Roster!A107="","","Period "&amp;Roster!B107&amp;"   ·   Student number "&amp;Roster!C107)</f>
        <v/>
      </c>
    </row>
    <row r="263" ht="18" customHeight="1">
      <c r="A263" s="11">
        <f>IF(Roster!A106="","","Open: "&amp;Settings!$B$1)</f>
        <v/>
      </c>
      <c r="E263" s="11">
        <f>IF(Roster!A107="","","Open: "&amp;Settings!$B$1)</f>
        <v/>
      </c>
    </row>
    <row r="264" ht="30" customHeight="1">
      <c r="A264" s="11">
        <f>IF(Roster!A106="","","Tap Sign in, type your period and number, then sign in with your school Google account.")</f>
        <v/>
      </c>
      <c r="E264" s="11">
        <f>IF(Roster!A107="","","Tap Sign in, type your period and number, then sign in with your school Google account.")</f>
        <v/>
      </c>
    </row>
    <row r="265" ht="10" customHeight="1">
      <c r="A265" s="12" t="n"/>
      <c r="B265" s="14" t="n"/>
      <c r="C265" s="14" t="n"/>
      <c r="E265" s="12" t="n"/>
      <c r="F265" s="14" t="n"/>
      <c r="G265" s="14" t="n"/>
    </row>
    <row r="266" ht="24" customHeight="1">
      <c r="A266" s="9">
        <f>IF(Roster!A108="","",Roster!A108)</f>
        <v/>
      </c>
      <c r="E266" s="9">
        <f>IF(Roster!A109="","",Roster!A109)</f>
        <v/>
      </c>
    </row>
    <row r="267" ht="24" customHeight="1">
      <c r="A267" s="10">
        <f>IF(Roster!A108="","","Period "&amp;Roster!B108&amp;"   ·   Student number "&amp;Roster!C108)</f>
        <v/>
      </c>
      <c r="E267" s="10">
        <f>IF(Roster!A109="","","Period "&amp;Roster!B109&amp;"   ·   Student number "&amp;Roster!C109)</f>
        <v/>
      </c>
    </row>
    <row r="268" ht="18" customHeight="1">
      <c r="A268" s="11">
        <f>IF(Roster!A108="","","Open: "&amp;Settings!$B$1)</f>
        <v/>
      </c>
      <c r="E268" s="11">
        <f>IF(Roster!A109="","","Open: "&amp;Settings!$B$1)</f>
        <v/>
      </c>
    </row>
    <row r="269" ht="30" customHeight="1">
      <c r="A269" s="11">
        <f>IF(Roster!A108="","","Tap Sign in, type your period and number, then sign in with your school Google account.")</f>
        <v/>
      </c>
      <c r="E269" s="11">
        <f>IF(Roster!A109="","","Tap Sign in, type your period and number, then sign in with your school Google account.")</f>
        <v/>
      </c>
    </row>
    <row r="270" ht="10" customHeight="1">
      <c r="A270" s="12" t="n"/>
      <c r="B270" s="14" t="n"/>
      <c r="C270" s="14" t="n"/>
      <c r="E270" s="12" t="n"/>
      <c r="F270" s="14" t="n"/>
      <c r="G270" s="14" t="n"/>
    </row>
    <row r="271" ht="24" customHeight="1">
      <c r="A271" s="9">
        <f>IF(Roster!A110="","",Roster!A110)</f>
        <v/>
      </c>
      <c r="E271" s="9">
        <f>IF(Roster!A111="","",Roster!A111)</f>
        <v/>
      </c>
    </row>
    <row r="272" ht="24" customHeight="1">
      <c r="A272" s="10">
        <f>IF(Roster!A110="","","Period "&amp;Roster!B110&amp;"   ·   Student number "&amp;Roster!C110)</f>
        <v/>
      </c>
      <c r="E272" s="10">
        <f>IF(Roster!A111="","","Period "&amp;Roster!B111&amp;"   ·   Student number "&amp;Roster!C111)</f>
        <v/>
      </c>
    </row>
    <row r="273" ht="18" customHeight="1">
      <c r="A273" s="11">
        <f>IF(Roster!A110="","","Open: "&amp;Settings!$B$1)</f>
        <v/>
      </c>
      <c r="E273" s="11">
        <f>IF(Roster!A111="","","Open: "&amp;Settings!$B$1)</f>
        <v/>
      </c>
    </row>
    <row r="274" ht="30" customHeight="1">
      <c r="A274" s="11">
        <f>IF(Roster!A110="","","Tap Sign in, type your period and number, then sign in with your school Google account.")</f>
        <v/>
      </c>
      <c r="E274" s="11">
        <f>IF(Roster!A111="","","Tap Sign in, type your period and number, then sign in with your school Google account.")</f>
        <v/>
      </c>
    </row>
    <row r="275" ht="10" customHeight="1">
      <c r="A275" s="12" t="n"/>
      <c r="B275" s="14" t="n"/>
      <c r="C275" s="14" t="n"/>
      <c r="E275" s="12" t="n"/>
      <c r="F275" s="14" t="n"/>
      <c r="G275" s="14" t="n"/>
    </row>
    <row r="276" ht="24" customHeight="1">
      <c r="A276" s="9">
        <f>IF(Roster!A112="","",Roster!A112)</f>
        <v/>
      </c>
      <c r="E276" s="9">
        <f>IF(Roster!A113="","",Roster!A113)</f>
        <v/>
      </c>
    </row>
    <row r="277" ht="24" customHeight="1">
      <c r="A277" s="10">
        <f>IF(Roster!A112="","","Period "&amp;Roster!B112&amp;"   ·   Student number "&amp;Roster!C112)</f>
        <v/>
      </c>
      <c r="E277" s="10">
        <f>IF(Roster!A113="","","Period "&amp;Roster!B113&amp;"   ·   Student number "&amp;Roster!C113)</f>
        <v/>
      </c>
    </row>
    <row r="278" ht="18" customHeight="1">
      <c r="A278" s="11">
        <f>IF(Roster!A112="","","Open: "&amp;Settings!$B$1)</f>
        <v/>
      </c>
      <c r="E278" s="11">
        <f>IF(Roster!A113="","","Open: "&amp;Settings!$B$1)</f>
        <v/>
      </c>
    </row>
    <row r="279" ht="30" customHeight="1">
      <c r="A279" s="11">
        <f>IF(Roster!A112="","","Tap Sign in, type your period and number, then sign in with your school Google account.")</f>
        <v/>
      </c>
      <c r="E279" s="11">
        <f>IF(Roster!A113="","","Tap Sign in, type your period and number, then sign in with your school Google account.")</f>
        <v/>
      </c>
    </row>
    <row r="280" ht="10" customHeight="1">
      <c r="A280" s="12" t="n"/>
      <c r="B280" s="14" t="n"/>
      <c r="C280" s="14" t="n"/>
      <c r="E280" s="12" t="n"/>
      <c r="F280" s="14" t="n"/>
      <c r="G280" s="14" t="n"/>
    </row>
    <row r="281" ht="24" customHeight="1">
      <c r="A281" s="9">
        <f>IF(Roster!A114="","",Roster!A114)</f>
        <v/>
      </c>
      <c r="E281" s="9">
        <f>IF(Roster!A115="","",Roster!A115)</f>
        <v/>
      </c>
    </row>
    <row r="282" ht="24" customHeight="1">
      <c r="A282" s="10">
        <f>IF(Roster!A114="","","Period "&amp;Roster!B114&amp;"   ·   Student number "&amp;Roster!C114)</f>
        <v/>
      </c>
      <c r="E282" s="10">
        <f>IF(Roster!A115="","","Period "&amp;Roster!B115&amp;"   ·   Student number "&amp;Roster!C115)</f>
        <v/>
      </c>
    </row>
    <row r="283" ht="18" customHeight="1">
      <c r="A283" s="11">
        <f>IF(Roster!A114="","","Open: "&amp;Settings!$B$1)</f>
        <v/>
      </c>
      <c r="E283" s="11">
        <f>IF(Roster!A115="","","Open: "&amp;Settings!$B$1)</f>
        <v/>
      </c>
    </row>
    <row r="284" ht="30" customHeight="1">
      <c r="A284" s="11">
        <f>IF(Roster!A114="","","Tap Sign in, type your period and number, then sign in with your school Google account.")</f>
        <v/>
      </c>
      <c r="E284" s="11">
        <f>IF(Roster!A115="","","Tap Sign in, type your period and number, then sign in with your school Google account.")</f>
        <v/>
      </c>
    </row>
    <row r="285" ht="10" customHeight="1">
      <c r="A285" s="12" t="n"/>
      <c r="B285" s="14" t="n"/>
      <c r="C285" s="14" t="n"/>
      <c r="E285" s="12" t="n"/>
      <c r="F285" s="14" t="n"/>
      <c r="G285" s="14" t="n"/>
    </row>
    <row r="286" ht="24" customHeight="1">
      <c r="A286" s="9">
        <f>IF(Roster!A116="","",Roster!A116)</f>
        <v/>
      </c>
      <c r="E286" s="9">
        <f>IF(Roster!A117="","",Roster!A117)</f>
        <v/>
      </c>
    </row>
    <row r="287" ht="24" customHeight="1">
      <c r="A287" s="10">
        <f>IF(Roster!A116="","","Period "&amp;Roster!B116&amp;"   ·   Student number "&amp;Roster!C116)</f>
        <v/>
      </c>
      <c r="E287" s="10">
        <f>IF(Roster!A117="","","Period "&amp;Roster!B117&amp;"   ·   Student number "&amp;Roster!C117)</f>
        <v/>
      </c>
    </row>
    <row r="288" ht="18" customHeight="1">
      <c r="A288" s="11">
        <f>IF(Roster!A116="","","Open: "&amp;Settings!$B$1)</f>
        <v/>
      </c>
      <c r="E288" s="11">
        <f>IF(Roster!A117="","","Open: "&amp;Settings!$B$1)</f>
        <v/>
      </c>
    </row>
    <row r="289" ht="30" customHeight="1">
      <c r="A289" s="11">
        <f>IF(Roster!A116="","","Tap Sign in, type your period and number, then sign in with your school Google account.")</f>
        <v/>
      </c>
      <c r="E289" s="11">
        <f>IF(Roster!A117="","","Tap Sign in, type your period and number, then sign in with your school Google account.")</f>
        <v/>
      </c>
    </row>
    <row r="290" ht="10" customHeight="1">
      <c r="A290" s="12" t="n"/>
      <c r="B290" s="14" t="n"/>
      <c r="C290" s="14" t="n"/>
      <c r="E290" s="12" t="n"/>
      <c r="F290" s="14" t="n"/>
      <c r="G290" s="14" t="n"/>
    </row>
    <row r="291" ht="24" customHeight="1">
      <c r="A291" s="9">
        <f>IF(Roster!A118="","",Roster!A118)</f>
        <v/>
      </c>
      <c r="E291" s="9">
        <f>IF(Roster!A119="","",Roster!A119)</f>
        <v/>
      </c>
    </row>
    <row r="292" ht="24" customHeight="1">
      <c r="A292" s="10">
        <f>IF(Roster!A118="","","Period "&amp;Roster!B118&amp;"   ·   Student number "&amp;Roster!C118)</f>
        <v/>
      </c>
      <c r="E292" s="10">
        <f>IF(Roster!A119="","","Period "&amp;Roster!B119&amp;"   ·   Student number "&amp;Roster!C119)</f>
        <v/>
      </c>
    </row>
    <row r="293" ht="18" customHeight="1">
      <c r="A293" s="11">
        <f>IF(Roster!A118="","","Open: "&amp;Settings!$B$1)</f>
        <v/>
      </c>
      <c r="E293" s="11">
        <f>IF(Roster!A119="","","Open: "&amp;Settings!$B$1)</f>
        <v/>
      </c>
    </row>
    <row r="294" ht="30" customHeight="1">
      <c r="A294" s="11">
        <f>IF(Roster!A118="","","Tap Sign in, type your period and number, then sign in with your school Google account.")</f>
        <v/>
      </c>
      <c r="E294" s="11">
        <f>IF(Roster!A119="","","Tap Sign in, type your period and number, then sign in with your school Google account.")</f>
        <v/>
      </c>
    </row>
    <row r="295" ht="10" customHeight="1">
      <c r="A295" s="12" t="n"/>
      <c r="B295" s="14" t="n"/>
      <c r="C295" s="14" t="n"/>
      <c r="E295" s="12" t="n"/>
      <c r="F295" s="14" t="n"/>
      <c r="G295" s="14" t="n"/>
    </row>
    <row r="296" ht="24" customHeight="1">
      <c r="A296" s="9">
        <f>IF(Roster!A120="","",Roster!A120)</f>
        <v/>
      </c>
      <c r="E296" s="9">
        <f>IF(Roster!A121="","",Roster!A121)</f>
        <v/>
      </c>
    </row>
    <row r="297" ht="24" customHeight="1">
      <c r="A297" s="10">
        <f>IF(Roster!A120="","","Period "&amp;Roster!B120&amp;"   ·   Student number "&amp;Roster!C120)</f>
        <v/>
      </c>
      <c r="E297" s="10">
        <f>IF(Roster!A121="","","Period "&amp;Roster!B121&amp;"   ·   Student number "&amp;Roster!C121)</f>
        <v/>
      </c>
    </row>
    <row r="298" ht="18" customHeight="1">
      <c r="A298" s="11">
        <f>IF(Roster!A120="","","Open: "&amp;Settings!$B$1)</f>
        <v/>
      </c>
      <c r="E298" s="11">
        <f>IF(Roster!A121="","","Open: "&amp;Settings!$B$1)</f>
        <v/>
      </c>
    </row>
    <row r="299" ht="30" customHeight="1">
      <c r="A299" s="11">
        <f>IF(Roster!A120="","","Tap Sign in, type your period and number, then sign in with your school Google account.")</f>
        <v/>
      </c>
      <c r="E299" s="11">
        <f>IF(Roster!A121="","","Tap Sign in, type your period and number, then sign in with your school Google account.")</f>
        <v/>
      </c>
    </row>
    <row r="300" ht="10" customHeight="1">
      <c r="A300" s="12" t="n"/>
      <c r="B300" s="14" t="n"/>
      <c r="C300" s="14" t="n"/>
      <c r="E300" s="12" t="n"/>
      <c r="F300" s="14" t="n"/>
      <c r="G300" s="14" t="n"/>
    </row>
    <row r="301" ht="24" customHeight="1">
      <c r="A301" s="9">
        <f>IF(Roster!A122="","",Roster!A122)</f>
        <v/>
      </c>
      <c r="E301" s="9">
        <f>IF(Roster!A123="","",Roster!A123)</f>
        <v/>
      </c>
    </row>
    <row r="302" ht="24" customHeight="1">
      <c r="A302" s="10">
        <f>IF(Roster!A122="","","Period "&amp;Roster!B122&amp;"   ·   Student number "&amp;Roster!C122)</f>
        <v/>
      </c>
      <c r="E302" s="10">
        <f>IF(Roster!A123="","","Period "&amp;Roster!B123&amp;"   ·   Student number "&amp;Roster!C123)</f>
        <v/>
      </c>
    </row>
    <row r="303" ht="18" customHeight="1">
      <c r="A303" s="11">
        <f>IF(Roster!A122="","","Open: "&amp;Settings!$B$1)</f>
        <v/>
      </c>
      <c r="E303" s="11">
        <f>IF(Roster!A123="","","Open: "&amp;Settings!$B$1)</f>
        <v/>
      </c>
    </row>
    <row r="304" ht="30" customHeight="1">
      <c r="A304" s="11">
        <f>IF(Roster!A122="","","Tap Sign in, type your period and number, then sign in with your school Google account.")</f>
        <v/>
      </c>
      <c r="E304" s="11">
        <f>IF(Roster!A123="","","Tap Sign in, type your period and number, then sign in with your school Google account.")</f>
        <v/>
      </c>
    </row>
    <row r="305" ht="10" customHeight="1">
      <c r="A305" s="12" t="n"/>
      <c r="B305" s="14" t="n"/>
      <c r="C305" s="14" t="n"/>
      <c r="E305" s="12" t="n"/>
      <c r="F305" s="14" t="n"/>
      <c r="G305" s="14" t="n"/>
    </row>
    <row r="306" ht="24" customHeight="1">
      <c r="A306" s="9">
        <f>IF(Roster!A124="","",Roster!A124)</f>
        <v/>
      </c>
      <c r="E306" s="9">
        <f>IF(Roster!A125="","",Roster!A125)</f>
        <v/>
      </c>
    </row>
    <row r="307" ht="24" customHeight="1">
      <c r="A307" s="10">
        <f>IF(Roster!A124="","","Period "&amp;Roster!B124&amp;"   ·   Student number "&amp;Roster!C124)</f>
        <v/>
      </c>
      <c r="E307" s="10">
        <f>IF(Roster!A125="","","Period "&amp;Roster!B125&amp;"   ·   Student number "&amp;Roster!C125)</f>
        <v/>
      </c>
    </row>
    <row r="308" ht="18" customHeight="1">
      <c r="A308" s="11">
        <f>IF(Roster!A124="","","Open: "&amp;Settings!$B$1)</f>
        <v/>
      </c>
      <c r="E308" s="11">
        <f>IF(Roster!A125="","","Open: "&amp;Settings!$B$1)</f>
        <v/>
      </c>
    </row>
    <row r="309" ht="30" customHeight="1">
      <c r="A309" s="11">
        <f>IF(Roster!A124="","","Tap Sign in, type your period and number, then sign in with your school Google account.")</f>
        <v/>
      </c>
      <c r="E309" s="11">
        <f>IF(Roster!A125="","","Tap Sign in, type your period and number, then sign in with your school Google account.")</f>
        <v/>
      </c>
    </row>
    <row r="310" ht="10" customHeight="1">
      <c r="A310" s="12" t="n"/>
      <c r="B310" s="14" t="n"/>
      <c r="C310" s="14" t="n"/>
      <c r="E310" s="12" t="n"/>
      <c r="F310" s="14" t="n"/>
      <c r="G310" s="14" t="n"/>
    </row>
    <row r="311" ht="24" customHeight="1">
      <c r="A311" s="9">
        <f>IF(Roster!A126="","",Roster!A126)</f>
        <v/>
      </c>
      <c r="E311" s="9">
        <f>IF(Roster!A127="","",Roster!A127)</f>
        <v/>
      </c>
    </row>
    <row r="312" ht="24" customHeight="1">
      <c r="A312" s="10">
        <f>IF(Roster!A126="","","Period "&amp;Roster!B126&amp;"   ·   Student number "&amp;Roster!C126)</f>
        <v/>
      </c>
      <c r="E312" s="10">
        <f>IF(Roster!A127="","","Period "&amp;Roster!B127&amp;"   ·   Student number "&amp;Roster!C127)</f>
        <v/>
      </c>
    </row>
    <row r="313" ht="18" customHeight="1">
      <c r="A313" s="11">
        <f>IF(Roster!A126="","","Open: "&amp;Settings!$B$1)</f>
        <v/>
      </c>
      <c r="E313" s="11">
        <f>IF(Roster!A127="","","Open: "&amp;Settings!$B$1)</f>
        <v/>
      </c>
    </row>
    <row r="314" ht="30" customHeight="1">
      <c r="A314" s="11">
        <f>IF(Roster!A126="","","Tap Sign in, type your period and number, then sign in with your school Google account.")</f>
        <v/>
      </c>
      <c r="E314" s="11">
        <f>IF(Roster!A127="","","Tap Sign in, type your period and number, then sign in with your school Google account.")</f>
        <v/>
      </c>
    </row>
    <row r="315" ht="10" customHeight="1">
      <c r="A315" s="12" t="n"/>
      <c r="B315" s="14" t="n"/>
      <c r="C315" s="14" t="n"/>
      <c r="E315" s="12" t="n"/>
      <c r="F315" s="14" t="n"/>
      <c r="G315" s="14" t="n"/>
    </row>
    <row r="316" ht="24" customHeight="1">
      <c r="A316" s="9">
        <f>IF(Roster!A128="","",Roster!A128)</f>
        <v/>
      </c>
      <c r="E316" s="9">
        <f>IF(Roster!A129="","",Roster!A129)</f>
        <v/>
      </c>
    </row>
    <row r="317" ht="24" customHeight="1">
      <c r="A317" s="10">
        <f>IF(Roster!A128="","","Period "&amp;Roster!B128&amp;"   ·   Student number "&amp;Roster!C128)</f>
        <v/>
      </c>
      <c r="E317" s="10">
        <f>IF(Roster!A129="","","Period "&amp;Roster!B129&amp;"   ·   Student number "&amp;Roster!C129)</f>
        <v/>
      </c>
    </row>
    <row r="318" ht="18" customHeight="1">
      <c r="A318" s="11">
        <f>IF(Roster!A128="","","Open: "&amp;Settings!$B$1)</f>
        <v/>
      </c>
      <c r="E318" s="11">
        <f>IF(Roster!A129="","","Open: "&amp;Settings!$B$1)</f>
        <v/>
      </c>
    </row>
    <row r="319" ht="30" customHeight="1">
      <c r="A319" s="11">
        <f>IF(Roster!A128="","","Tap Sign in, type your period and number, then sign in with your school Google account.")</f>
        <v/>
      </c>
      <c r="E319" s="11">
        <f>IF(Roster!A129="","","Tap Sign in, type your period and number, then sign in with your school Google account.")</f>
        <v/>
      </c>
    </row>
    <row r="320" ht="10" customHeight="1">
      <c r="A320" s="12" t="n"/>
      <c r="B320" s="14" t="n"/>
      <c r="C320" s="14" t="n"/>
      <c r="E320" s="12" t="n"/>
      <c r="F320" s="14" t="n"/>
      <c r="G320" s="14" t="n"/>
    </row>
    <row r="321" ht="24" customHeight="1">
      <c r="A321" s="9">
        <f>IF(Roster!A130="","",Roster!A130)</f>
        <v/>
      </c>
      <c r="E321" s="9">
        <f>IF(Roster!A131="","",Roster!A131)</f>
        <v/>
      </c>
    </row>
    <row r="322" ht="24" customHeight="1">
      <c r="A322" s="10">
        <f>IF(Roster!A130="","","Period "&amp;Roster!B130&amp;"   ·   Student number "&amp;Roster!C130)</f>
        <v/>
      </c>
      <c r="E322" s="10">
        <f>IF(Roster!A131="","","Period "&amp;Roster!B131&amp;"   ·   Student number "&amp;Roster!C131)</f>
        <v/>
      </c>
    </row>
    <row r="323" ht="18" customHeight="1">
      <c r="A323" s="11">
        <f>IF(Roster!A130="","","Open: "&amp;Settings!$B$1)</f>
        <v/>
      </c>
      <c r="E323" s="11">
        <f>IF(Roster!A131="","","Open: "&amp;Settings!$B$1)</f>
        <v/>
      </c>
    </row>
    <row r="324" ht="30" customHeight="1">
      <c r="A324" s="11">
        <f>IF(Roster!A130="","","Tap Sign in, type your period and number, then sign in with your school Google account.")</f>
        <v/>
      </c>
      <c r="E324" s="11">
        <f>IF(Roster!A131="","","Tap Sign in, type your period and number, then sign in with your school Google account.")</f>
        <v/>
      </c>
    </row>
    <row r="325" ht="10" customHeight="1">
      <c r="A325" s="12" t="n"/>
      <c r="B325" s="14" t="n"/>
      <c r="C325" s="14" t="n"/>
      <c r="E325" s="12" t="n"/>
      <c r="F325" s="14" t="n"/>
      <c r="G325" s="14" t="n"/>
    </row>
    <row r="326" ht="24" customHeight="1">
      <c r="A326" s="9">
        <f>IF(Roster!A132="","",Roster!A132)</f>
        <v/>
      </c>
      <c r="E326" s="9">
        <f>IF(Roster!A133="","",Roster!A133)</f>
        <v/>
      </c>
    </row>
    <row r="327" ht="24" customHeight="1">
      <c r="A327" s="10">
        <f>IF(Roster!A132="","","Period "&amp;Roster!B132&amp;"   ·   Student number "&amp;Roster!C132)</f>
        <v/>
      </c>
      <c r="E327" s="10">
        <f>IF(Roster!A133="","","Period "&amp;Roster!B133&amp;"   ·   Student number "&amp;Roster!C133)</f>
        <v/>
      </c>
    </row>
    <row r="328" ht="18" customHeight="1">
      <c r="A328" s="11">
        <f>IF(Roster!A132="","","Open: "&amp;Settings!$B$1)</f>
        <v/>
      </c>
      <c r="E328" s="11">
        <f>IF(Roster!A133="","","Open: "&amp;Settings!$B$1)</f>
        <v/>
      </c>
    </row>
    <row r="329" ht="30" customHeight="1">
      <c r="A329" s="11">
        <f>IF(Roster!A132="","","Tap Sign in, type your period and number, then sign in with your school Google account.")</f>
        <v/>
      </c>
      <c r="E329" s="11">
        <f>IF(Roster!A133="","","Tap Sign in, type your period and number, then sign in with your school Google account.")</f>
        <v/>
      </c>
    </row>
    <row r="330" ht="10" customHeight="1">
      <c r="A330" s="12" t="n"/>
      <c r="B330" s="14" t="n"/>
      <c r="C330" s="14" t="n"/>
      <c r="E330" s="12" t="n"/>
      <c r="F330" s="14" t="n"/>
      <c r="G330" s="14" t="n"/>
    </row>
    <row r="331" ht="24" customHeight="1">
      <c r="A331" s="9">
        <f>IF(Roster!A134="","",Roster!A134)</f>
        <v/>
      </c>
      <c r="E331" s="9">
        <f>IF(Roster!A135="","",Roster!A135)</f>
        <v/>
      </c>
    </row>
    <row r="332" ht="24" customHeight="1">
      <c r="A332" s="10">
        <f>IF(Roster!A134="","","Period "&amp;Roster!B134&amp;"   ·   Student number "&amp;Roster!C134)</f>
        <v/>
      </c>
      <c r="E332" s="10">
        <f>IF(Roster!A135="","","Period "&amp;Roster!B135&amp;"   ·   Student number "&amp;Roster!C135)</f>
        <v/>
      </c>
    </row>
    <row r="333" ht="18" customHeight="1">
      <c r="A333" s="11">
        <f>IF(Roster!A134="","","Open: "&amp;Settings!$B$1)</f>
        <v/>
      </c>
      <c r="E333" s="11">
        <f>IF(Roster!A135="","","Open: "&amp;Settings!$B$1)</f>
        <v/>
      </c>
    </row>
    <row r="334" ht="30" customHeight="1">
      <c r="A334" s="11">
        <f>IF(Roster!A134="","","Tap Sign in, type your period and number, then sign in with your school Google account.")</f>
        <v/>
      </c>
      <c r="E334" s="11">
        <f>IF(Roster!A135="","","Tap Sign in, type your period and number, then sign in with your school Google account.")</f>
        <v/>
      </c>
    </row>
    <row r="335" ht="10" customHeight="1">
      <c r="A335" s="12" t="n"/>
      <c r="B335" s="14" t="n"/>
      <c r="C335" s="14" t="n"/>
      <c r="E335" s="12" t="n"/>
      <c r="F335" s="14" t="n"/>
      <c r="G335" s="14" t="n"/>
    </row>
    <row r="336" ht="24" customHeight="1">
      <c r="A336" s="9">
        <f>IF(Roster!A136="","",Roster!A136)</f>
        <v/>
      </c>
      <c r="E336" s="9">
        <f>IF(Roster!A137="","",Roster!A137)</f>
        <v/>
      </c>
    </row>
    <row r="337" ht="24" customHeight="1">
      <c r="A337" s="10">
        <f>IF(Roster!A136="","","Period "&amp;Roster!B136&amp;"   ·   Student number "&amp;Roster!C136)</f>
        <v/>
      </c>
      <c r="E337" s="10">
        <f>IF(Roster!A137="","","Period "&amp;Roster!B137&amp;"   ·   Student number "&amp;Roster!C137)</f>
        <v/>
      </c>
    </row>
    <row r="338" ht="18" customHeight="1">
      <c r="A338" s="11">
        <f>IF(Roster!A136="","","Open: "&amp;Settings!$B$1)</f>
        <v/>
      </c>
      <c r="E338" s="11">
        <f>IF(Roster!A137="","","Open: "&amp;Settings!$B$1)</f>
        <v/>
      </c>
    </row>
    <row r="339" ht="30" customHeight="1">
      <c r="A339" s="11">
        <f>IF(Roster!A136="","","Tap Sign in, type your period and number, then sign in with your school Google account.")</f>
        <v/>
      </c>
      <c r="E339" s="11">
        <f>IF(Roster!A137="","","Tap Sign in, type your period and number, then sign in with your school Google account.")</f>
        <v/>
      </c>
    </row>
    <row r="340" ht="10" customHeight="1">
      <c r="A340" s="12" t="n"/>
      <c r="B340" s="14" t="n"/>
      <c r="C340" s="14" t="n"/>
      <c r="E340" s="12" t="n"/>
      <c r="F340" s="14" t="n"/>
      <c r="G340" s="14" t="n"/>
    </row>
    <row r="341" ht="24" customHeight="1">
      <c r="A341" s="9">
        <f>IF(Roster!A138="","",Roster!A138)</f>
        <v/>
      </c>
      <c r="E341" s="9">
        <f>IF(Roster!A139="","",Roster!A139)</f>
        <v/>
      </c>
    </row>
    <row r="342" ht="24" customHeight="1">
      <c r="A342" s="10">
        <f>IF(Roster!A138="","","Period "&amp;Roster!B138&amp;"   ·   Student number "&amp;Roster!C138)</f>
        <v/>
      </c>
      <c r="E342" s="10">
        <f>IF(Roster!A139="","","Period "&amp;Roster!B139&amp;"   ·   Student number "&amp;Roster!C139)</f>
        <v/>
      </c>
    </row>
    <row r="343" ht="18" customHeight="1">
      <c r="A343" s="11">
        <f>IF(Roster!A138="","","Open: "&amp;Settings!$B$1)</f>
        <v/>
      </c>
      <c r="E343" s="11">
        <f>IF(Roster!A139="","","Open: "&amp;Settings!$B$1)</f>
        <v/>
      </c>
    </row>
    <row r="344" ht="30" customHeight="1">
      <c r="A344" s="11">
        <f>IF(Roster!A138="","","Tap Sign in, type your period and number, then sign in with your school Google account.")</f>
        <v/>
      </c>
      <c r="E344" s="11">
        <f>IF(Roster!A139="","","Tap Sign in, type your period and number, then sign in with your school Google account.")</f>
        <v/>
      </c>
    </row>
    <row r="345" ht="10" customHeight="1">
      <c r="A345" s="12" t="n"/>
      <c r="B345" s="14" t="n"/>
      <c r="C345" s="14" t="n"/>
      <c r="E345" s="12" t="n"/>
      <c r="F345" s="14" t="n"/>
      <c r="G345" s="14" t="n"/>
    </row>
    <row r="346" ht="24" customHeight="1">
      <c r="A346" s="9">
        <f>IF(Roster!A140="","",Roster!A140)</f>
        <v/>
      </c>
      <c r="E346" s="9">
        <f>IF(Roster!A141="","",Roster!A141)</f>
        <v/>
      </c>
    </row>
    <row r="347" ht="24" customHeight="1">
      <c r="A347" s="10">
        <f>IF(Roster!A140="","","Period "&amp;Roster!B140&amp;"   ·   Student number "&amp;Roster!C140)</f>
        <v/>
      </c>
      <c r="E347" s="10">
        <f>IF(Roster!A141="","","Period "&amp;Roster!B141&amp;"   ·   Student number "&amp;Roster!C141)</f>
        <v/>
      </c>
    </row>
    <row r="348" ht="18" customHeight="1">
      <c r="A348" s="11">
        <f>IF(Roster!A140="","","Open: "&amp;Settings!$B$1)</f>
        <v/>
      </c>
      <c r="E348" s="11">
        <f>IF(Roster!A141="","","Open: "&amp;Settings!$B$1)</f>
        <v/>
      </c>
    </row>
    <row r="349" ht="30" customHeight="1">
      <c r="A349" s="11">
        <f>IF(Roster!A140="","","Tap Sign in, type your period and number, then sign in with your school Google account.")</f>
        <v/>
      </c>
      <c r="E349" s="11">
        <f>IF(Roster!A141="","","Tap Sign in, type your period and number, then sign in with your school Google account.")</f>
        <v/>
      </c>
    </row>
    <row r="350" ht="10" customHeight="1">
      <c r="A350" s="12" t="n"/>
      <c r="B350" s="14" t="n"/>
      <c r="C350" s="14" t="n"/>
      <c r="E350" s="12" t="n"/>
      <c r="F350" s="14" t="n"/>
      <c r="G350" s="14" t="n"/>
    </row>
    <row r="351" ht="24" customHeight="1">
      <c r="A351" s="9">
        <f>IF(Roster!A142="","",Roster!A142)</f>
        <v/>
      </c>
      <c r="E351" s="9">
        <f>IF(Roster!A143="","",Roster!A143)</f>
        <v/>
      </c>
    </row>
    <row r="352" ht="24" customHeight="1">
      <c r="A352" s="10">
        <f>IF(Roster!A142="","","Period "&amp;Roster!B142&amp;"   ·   Student number "&amp;Roster!C142)</f>
        <v/>
      </c>
      <c r="E352" s="10">
        <f>IF(Roster!A143="","","Period "&amp;Roster!B143&amp;"   ·   Student number "&amp;Roster!C143)</f>
        <v/>
      </c>
    </row>
    <row r="353" ht="18" customHeight="1">
      <c r="A353" s="11">
        <f>IF(Roster!A142="","","Open: "&amp;Settings!$B$1)</f>
        <v/>
      </c>
      <c r="E353" s="11">
        <f>IF(Roster!A143="","","Open: "&amp;Settings!$B$1)</f>
        <v/>
      </c>
    </row>
    <row r="354" ht="30" customHeight="1">
      <c r="A354" s="11">
        <f>IF(Roster!A142="","","Tap Sign in, type your period and number, then sign in with your school Google account.")</f>
        <v/>
      </c>
      <c r="E354" s="11">
        <f>IF(Roster!A143="","","Tap Sign in, type your period and number, then sign in with your school Google account.")</f>
        <v/>
      </c>
    </row>
    <row r="355" ht="10" customHeight="1">
      <c r="A355" s="12" t="n"/>
      <c r="B355" s="14" t="n"/>
      <c r="C355" s="14" t="n"/>
      <c r="E355" s="12" t="n"/>
      <c r="F355" s="14" t="n"/>
      <c r="G355" s="14" t="n"/>
    </row>
    <row r="356" ht="24" customHeight="1">
      <c r="A356" s="9">
        <f>IF(Roster!A144="","",Roster!A144)</f>
        <v/>
      </c>
      <c r="E356" s="9">
        <f>IF(Roster!A145="","",Roster!A145)</f>
        <v/>
      </c>
    </row>
    <row r="357" ht="24" customHeight="1">
      <c r="A357" s="10">
        <f>IF(Roster!A144="","","Period "&amp;Roster!B144&amp;"   ·   Student number "&amp;Roster!C144)</f>
        <v/>
      </c>
      <c r="E357" s="10">
        <f>IF(Roster!A145="","","Period "&amp;Roster!B145&amp;"   ·   Student number "&amp;Roster!C145)</f>
        <v/>
      </c>
    </row>
    <row r="358" ht="18" customHeight="1">
      <c r="A358" s="11">
        <f>IF(Roster!A144="","","Open: "&amp;Settings!$B$1)</f>
        <v/>
      </c>
      <c r="E358" s="11">
        <f>IF(Roster!A145="","","Open: "&amp;Settings!$B$1)</f>
        <v/>
      </c>
    </row>
    <row r="359" ht="30" customHeight="1">
      <c r="A359" s="11">
        <f>IF(Roster!A144="","","Tap Sign in, type your period and number, then sign in with your school Google account.")</f>
        <v/>
      </c>
      <c r="E359" s="11">
        <f>IF(Roster!A145="","","Tap Sign in, type your period and number, then sign in with your school Google account.")</f>
        <v/>
      </c>
    </row>
    <row r="360" ht="10" customHeight="1">
      <c r="A360" s="12" t="n"/>
      <c r="B360" s="14" t="n"/>
      <c r="C360" s="14" t="n"/>
      <c r="E360" s="12" t="n"/>
      <c r="F360" s="14" t="n"/>
      <c r="G360" s="14" t="n"/>
    </row>
    <row r="361" ht="24" customHeight="1">
      <c r="A361" s="9">
        <f>IF(Roster!A146="","",Roster!A146)</f>
        <v/>
      </c>
      <c r="E361" s="9">
        <f>IF(Roster!A147="","",Roster!A147)</f>
        <v/>
      </c>
    </row>
    <row r="362" ht="24" customHeight="1">
      <c r="A362" s="10">
        <f>IF(Roster!A146="","","Period "&amp;Roster!B146&amp;"   ·   Student number "&amp;Roster!C146)</f>
        <v/>
      </c>
      <c r="E362" s="10">
        <f>IF(Roster!A147="","","Period "&amp;Roster!B147&amp;"   ·   Student number "&amp;Roster!C147)</f>
        <v/>
      </c>
    </row>
    <row r="363" ht="18" customHeight="1">
      <c r="A363" s="11">
        <f>IF(Roster!A146="","","Open: "&amp;Settings!$B$1)</f>
        <v/>
      </c>
      <c r="E363" s="11">
        <f>IF(Roster!A147="","","Open: "&amp;Settings!$B$1)</f>
        <v/>
      </c>
    </row>
    <row r="364" ht="30" customHeight="1">
      <c r="A364" s="11">
        <f>IF(Roster!A146="","","Tap Sign in, type your period and number, then sign in with your school Google account.")</f>
        <v/>
      </c>
      <c r="E364" s="11">
        <f>IF(Roster!A147="","","Tap Sign in, type your period and number, then sign in with your school Google account.")</f>
        <v/>
      </c>
    </row>
    <row r="365" ht="10" customHeight="1">
      <c r="A365" s="12" t="n"/>
      <c r="B365" s="14" t="n"/>
      <c r="C365" s="14" t="n"/>
      <c r="E365" s="12" t="n"/>
      <c r="F365" s="14" t="n"/>
      <c r="G365" s="14" t="n"/>
    </row>
    <row r="366" ht="24" customHeight="1">
      <c r="A366" s="9">
        <f>IF(Roster!A148="","",Roster!A148)</f>
        <v/>
      </c>
      <c r="E366" s="9">
        <f>IF(Roster!A149="","",Roster!A149)</f>
        <v/>
      </c>
    </row>
    <row r="367" ht="24" customHeight="1">
      <c r="A367" s="10">
        <f>IF(Roster!A148="","","Period "&amp;Roster!B148&amp;"   ·   Student number "&amp;Roster!C148)</f>
        <v/>
      </c>
      <c r="E367" s="10">
        <f>IF(Roster!A149="","","Period "&amp;Roster!B149&amp;"   ·   Student number "&amp;Roster!C149)</f>
        <v/>
      </c>
    </row>
    <row r="368" ht="18" customHeight="1">
      <c r="A368" s="11">
        <f>IF(Roster!A148="","","Open: "&amp;Settings!$B$1)</f>
        <v/>
      </c>
      <c r="E368" s="11">
        <f>IF(Roster!A149="","","Open: "&amp;Settings!$B$1)</f>
        <v/>
      </c>
    </row>
    <row r="369" ht="30" customHeight="1">
      <c r="A369" s="11">
        <f>IF(Roster!A148="","","Tap Sign in, type your period and number, then sign in with your school Google account.")</f>
        <v/>
      </c>
      <c r="E369" s="11">
        <f>IF(Roster!A149="","","Tap Sign in, type your period and number, then sign in with your school Google account.")</f>
        <v/>
      </c>
    </row>
    <row r="370" ht="10" customHeight="1">
      <c r="A370" s="12" t="n"/>
      <c r="B370" s="14" t="n"/>
      <c r="C370" s="14" t="n"/>
      <c r="E370" s="12" t="n"/>
      <c r="F370" s="14" t="n"/>
      <c r="G370" s="14" t="n"/>
    </row>
    <row r="371" ht="24" customHeight="1">
      <c r="A371" s="9">
        <f>IF(Roster!A150="","",Roster!A150)</f>
        <v/>
      </c>
      <c r="E371" s="9">
        <f>IF(Roster!A151="","",Roster!A151)</f>
        <v/>
      </c>
    </row>
    <row r="372" ht="24" customHeight="1">
      <c r="A372" s="10">
        <f>IF(Roster!A150="","","Period "&amp;Roster!B150&amp;"   ·   Student number "&amp;Roster!C150)</f>
        <v/>
      </c>
      <c r="E372" s="10">
        <f>IF(Roster!A151="","","Period "&amp;Roster!B151&amp;"   ·   Student number "&amp;Roster!C151)</f>
        <v/>
      </c>
    </row>
    <row r="373" ht="18" customHeight="1">
      <c r="A373" s="11">
        <f>IF(Roster!A150="","","Open: "&amp;Settings!$B$1)</f>
        <v/>
      </c>
      <c r="E373" s="11">
        <f>IF(Roster!A151="","","Open: "&amp;Settings!$B$1)</f>
        <v/>
      </c>
    </row>
    <row r="374" ht="30" customHeight="1">
      <c r="A374" s="11">
        <f>IF(Roster!A150="","","Tap Sign in, type your period and number, then sign in with your school Google account.")</f>
        <v/>
      </c>
      <c r="E374" s="11">
        <f>IF(Roster!A151="","","Tap Sign in, type your period and number, then sign in with your school Google account.")</f>
        <v/>
      </c>
    </row>
    <row r="375" ht="10" customHeight="1">
      <c r="A375" s="12" t="n"/>
      <c r="B375" s="14" t="n"/>
      <c r="C375" s="14" t="n"/>
      <c r="E375" s="12" t="n"/>
      <c r="F375" s="14" t="n"/>
      <c r="G375" s="14" t="n"/>
    </row>
  </sheetData>
  <mergeCells count="750">
    <mergeCell ref="A128:C128"/>
    <mergeCell ref="E161:G161"/>
    <mergeCell ref="A255:C255"/>
    <mergeCell ref="E288:G288"/>
    <mergeCell ref="A326:C326"/>
    <mergeCell ref="A364:C364"/>
    <mergeCell ref="A136:C136"/>
    <mergeCell ref="A21:C21"/>
    <mergeCell ref="A192:C192"/>
    <mergeCell ref="A57:C57"/>
    <mergeCell ref="A113:C113"/>
    <mergeCell ref="A23:C23"/>
    <mergeCell ref="A194:C194"/>
    <mergeCell ref="A181:C181"/>
    <mergeCell ref="E250:G250"/>
    <mergeCell ref="E237:G237"/>
    <mergeCell ref="E212:G212"/>
    <mergeCell ref="E16:G16"/>
    <mergeCell ref="A52:C52"/>
    <mergeCell ref="E301:G301"/>
    <mergeCell ref="E239:G239"/>
    <mergeCell ref="E214:G214"/>
    <mergeCell ref="E18:G18"/>
    <mergeCell ref="E285:G285"/>
    <mergeCell ref="A352:C352"/>
    <mergeCell ref="A34:C34"/>
    <mergeCell ref="A83:C83"/>
    <mergeCell ref="A270:C270"/>
    <mergeCell ref="A368:C368"/>
    <mergeCell ref="E278:G278"/>
    <mergeCell ref="A49:C49"/>
    <mergeCell ref="A110:C110"/>
    <mergeCell ref="E372:G372"/>
    <mergeCell ref="A334:C334"/>
    <mergeCell ref="E92:G92"/>
    <mergeCell ref="E293:G293"/>
    <mergeCell ref="A370:C370"/>
    <mergeCell ref="E138:G138"/>
    <mergeCell ref="A174:C174"/>
    <mergeCell ref="A205:C205"/>
    <mergeCell ref="E374:G374"/>
    <mergeCell ref="E230:G230"/>
    <mergeCell ref="E205:G205"/>
    <mergeCell ref="A118:C118"/>
    <mergeCell ref="E69:G69"/>
    <mergeCell ref="A238:C238"/>
    <mergeCell ref="E311:G311"/>
    <mergeCell ref="E367:G367"/>
    <mergeCell ref="E167:G167"/>
    <mergeCell ref="A55:C55"/>
    <mergeCell ref="E232:G232"/>
    <mergeCell ref="E354:G354"/>
    <mergeCell ref="E6:G6"/>
    <mergeCell ref="E77:G77"/>
    <mergeCell ref="E133:G133"/>
    <mergeCell ref="E304:G304"/>
    <mergeCell ref="E369:G369"/>
    <mergeCell ref="E169:G169"/>
    <mergeCell ref="E225:G225"/>
    <mergeCell ref="A263:C263"/>
    <mergeCell ref="E296:G296"/>
    <mergeCell ref="E356:G356"/>
    <mergeCell ref="E306:G306"/>
    <mergeCell ref="E162:G162"/>
    <mergeCell ref="A29:C29"/>
    <mergeCell ref="A4:C4"/>
    <mergeCell ref="A200:C200"/>
    <mergeCell ref="E227:G227"/>
    <mergeCell ref="A265:C265"/>
    <mergeCell ref="A121:C121"/>
    <mergeCell ref="E72:G72"/>
    <mergeCell ref="A357:C357"/>
    <mergeCell ref="A44:C44"/>
    <mergeCell ref="E164:G164"/>
    <mergeCell ref="A31:C31"/>
    <mergeCell ref="A202:C202"/>
    <mergeCell ref="A58:C58"/>
    <mergeCell ref="A258:C258"/>
    <mergeCell ref="A329:C329"/>
    <mergeCell ref="E258:G258"/>
    <mergeCell ref="A24:C24"/>
    <mergeCell ref="A73:C73"/>
    <mergeCell ref="A266:C266"/>
    <mergeCell ref="A260:C260"/>
    <mergeCell ref="E24:G24"/>
    <mergeCell ref="A60:C60"/>
    <mergeCell ref="E195:G195"/>
    <mergeCell ref="E322:G322"/>
    <mergeCell ref="A358:C358"/>
    <mergeCell ref="E309:G309"/>
    <mergeCell ref="A197:C197"/>
    <mergeCell ref="E17:G17"/>
    <mergeCell ref="E88:G88"/>
    <mergeCell ref="A124:C124"/>
    <mergeCell ref="E259:G259"/>
    <mergeCell ref="E82:G82"/>
    <mergeCell ref="E253:G253"/>
    <mergeCell ref="E153:G153"/>
    <mergeCell ref="E324:G324"/>
    <mergeCell ref="E180:G180"/>
    <mergeCell ref="A360:C360"/>
    <mergeCell ref="E240:G240"/>
    <mergeCell ref="E1:G1"/>
    <mergeCell ref="E19:G19"/>
    <mergeCell ref="A84:C84"/>
    <mergeCell ref="A149:C149"/>
    <mergeCell ref="E65:G65"/>
    <mergeCell ref="E182:G182"/>
    <mergeCell ref="E363:G363"/>
    <mergeCell ref="A50:C50"/>
    <mergeCell ref="E319:G319"/>
    <mergeCell ref="A86:C86"/>
    <mergeCell ref="A42:C42"/>
    <mergeCell ref="A213:C213"/>
    <mergeCell ref="A151:C151"/>
    <mergeCell ref="A188:C188"/>
    <mergeCell ref="A126:C126"/>
    <mergeCell ref="A150:C150"/>
    <mergeCell ref="A144:C144"/>
    <mergeCell ref="E375:G375"/>
    <mergeCell ref="E179:G179"/>
    <mergeCell ref="A215:C215"/>
    <mergeCell ref="A190:C190"/>
    <mergeCell ref="A152:C152"/>
    <mergeCell ref="E246:G246"/>
    <mergeCell ref="E233:G233"/>
    <mergeCell ref="E37:G37"/>
    <mergeCell ref="E208:G208"/>
    <mergeCell ref="E12:G12"/>
    <mergeCell ref="E248:G248"/>
    <mergeCell ref="E297:G297"/>
    <mergeCell ref="E272:G272"/>
    <mergeCell ref="E235:G235"/>
    <mergeCell ref="E210:G210"/>
    <mergeCell ref="E247:G247"/>
    <mergeCell ref="E14:G14"/>
    <mergeCell ref="E185:G185"/>
    <mergeCell ref="A291:C291"/>
    <mergeCell ref="E312:G312"/>
    <mergeCell ref="A79:C79"/>
    <mergeCell ref="E299:G299"/>
    <mergeCell ref="A70:C70"/>
    <mergeCell ref="A355:C355"/>
    <mergeCell ref="E314:G314"/>
    <mergeCell ref="A137:C137"/>
    <mergeCell ref="A330:C330"/>
    <mergeCell ref="A268:C268"/>
    <mergeCell ref="A366:C366"/>
    <mergeCell ref="A74:C74"/>
    <mergeCell ref="A145:C145"/>
    <mergeCell ref="A139:C139"/>
    <mergeCell ref="E201:G201"/>
    <mergeCell ref="E90:G90"/>
    <mergeCell ref="E261:G261"/>
    <mergeCell ref="A76:C76"/>
    <mergeCell ref="A203:C203"/>
    <mergeCell ref="A374:C374"/>
    <mergeCell ref="E27:G27"/>
    <mergeCell ref="E154:G154"/>
    <mergeCell ref="E325:G325"/>
    <mergeCell ref="A361:C361"/>
    <mergeCell ref="E119:G119"/>
    <mergeCell ref="A140:C140"/>
    <mergeCell ref="A311:C311"/>
    <mergeCell ref="E91:G91"/>
    <mergeCell ref="E25:G25"/>
    <mergeCell ref="E196:G196"/>
    <mergeCell ref="E85:G85"/>
    <mergeCell ref="E256:G256"/>
    <mergeCell ref="E327:G327"/>
    <mergeCell ref="E183:G183"/>
    <mergeCell ref="E302:G302"/>
    <mergeCell ref="E93:G93"/>
    <mergeCell ref="E198:G198"/>
    <mergeCell ref="A92:C92"/>
    <mergeCell ref="A279:C279"/>
    <mergeCell ref="A350:C350"/>
    <mergeCell ref="A300:C300"/>
    <mergeCell ref="A45:C45"/>
    <mergeCell ref="A94:C94"/>
    <mergeCell ref="A216:C216"/>
    <mergeCell ref="A287:C287"/>
    <mergeCell ref="A343:C343"/>
    <mergeCell ref="A281:C281"/>
    <mergeCell ref="E343:G343"/>
    <mergeCell ref="A87:C87"/>
    <mergeCell ref="A218:C218"/>
    <mergeCell ref="E38:G38"/>
    <mergeCell ref="A345:C345"/>
    <mergeCell ref="E280:G280"/>
    <mergeCell ref="A316:C316"/>
    <mergeCell ref="E274:G274"/>
    <mergeCell ref="A193:C193"/>
    <mergeCell ref="E13:G13"/>
    <mergeCell ref="A46:C46"/>
    <mergeCell ref="E249:G249"/>
    <mergeCell ref="A89:C89"/>
    <mergeCell ref="A282:C282"/>
    <mergeCell ref="E40:G40"/>
    <mergeCell ref="E338:G338"/>
    <mergeCell ref="A105:C105"/>
    <mergeCell ref="E15:G15"/>
    <mergeCell ref="A26:C26"/>
    <mergeCell ref="E186:G186"/>
    <mergeCell ref="E257:G257"/>
    <mergeCell ref="A71:C71"/>
    <mergeCell ref="E104:G104"/>
    <mergeCell ref="A313:C313"/>
    <mergeCell ref="A307:C307"/>
    <mergeCell ref="E340:G340"/>
    <mergeCell ref="A234:C234"/>
    <mergeCell ref="E315:G315"/>
    <mergeCell ref="A184:C184"/>
    <mergeCell ref="A371:C371"/>
    <mergeCell ref="A171:C171"/>
    <mergeCell ref="A165:C165"/>
    <mergeCell ref="E81:G81"/>
    <mergeCell ref="A173:C173"/>
    <mergeCell ref="A229:C229"/>
    <mergeCell ref="A77:C77"/>
    <mergeCell ref="A148:C148"/>
    <mergeCell ref="E106:G106"/>
    <mergeCell ref="E204:G204"/>
    <mergeCell ref="A6:C6"/>
    <mergeCell ref="E141:G141"/>
    <mergeCell ref="E135:G135"/>
    <mergeCell ref="E35:G35"/>
    <mergeCell ref="E206:G206"/>
    <mergeCell ref="E262:G262"/>
    <mergeCell ref="E328:G328"/>
    <mergeCell ref="E107:G107"/>
    <mergeCell ref="E143:G143"/>
    <mergeCell ref="E28:G28"/>
    <mergeCell ref="A66:C66"/>
    <mergeCell ref="A351:C351"/>
    <mergeCell ref="A120:C120"/>
    <mergeCell ref="A3:C3"/>
    <mergeCell ref="E30:G30"/>
    <mergeCell ref="A301:C301"/>
    <mergeCell ref="A239:C239"/>
    <mergeCell ref="E59:G59"/>
    <mergeCell ref="A95:C95"/>
    <mergeCell ref="A160:C160"/>
    <mergeCell ref="E46:G46"/>
    <mergeCell ref="A331:C331"/>
    <mergeCell ref="A5:C5"/>
    <mergeCell ref="A32:C32"/>
    <mergeCell ref="A303:C303"/>
    <mergeCell ref="A159:C159"/>
    <mergeCell ref="E61:G61"/>
    <mergeCell ref="A97:C97"/>
    <mergeCell ref="A219:C219"/>
    <mergeCell ref="A224:C224"/>
    <mergeCell ref="A290:C290"/>
    <mergeCell ref="E359:G359"/>
    <mergeCell ref="E346:G346"/>
    <mergeCell ref="A96:C96"/>
    <mergeCell ref="E54:G54"/>
    <mergeCell ref="E321:G321"/>
    <mergeCell ref="E125:G125"/>
    <mergeCell ref="A161:C161"/>
    <mergeCell ref="A332:C332"/>
    <mergeCell ref="A288:C288"/>
    <mergeCell ref="E41:G41"/>
    <mergeCell ref="E112:G112"/>
    <mergeCell ref="E217:G217"/>
    <mergeCell ref="E283:G283"/>
    <mergeCell ref="E277:G277"/>
    <mergeCell ref="E348:G348"/>
    <mergeCell ref="E56:G56"/>
    <mergeCell ref="E323:G323"/>
    <mergeCell ref="E43:G43"/>
    <mergeCell ref="E341:G341"/>
    <mergeCell ref="E129:G129"/>
    <mergeCell ref="E181:G181"/>
    <mergeCell ref="A123:C123"/>
    <mergeCell ref="A250:C250"/>
    <mergeCell ref="E131:G131"/>
    <mergeCell ref="A237:C237"/>
    <mergeCell ref="A212:C212"/>
    <mergeCell ref="A16:C16"/>
    <mergeCell ref="A187:C187"/>
    <mergeCell ref="A108:C108"/>
    <mergeCell ref="E295:G295"/>
    <mergeCell ref="A214:C214"/>
    <mergeCell ref="A18:C18"/>
    <mergeCell ref="E34:G34"/>
    <mergeCell ref="E9:G9"/>
    <mergeCell ref="A189:C189"/>
    <mergeCell ref="E276:G276"/>
    <mergeCell ref="E270:G270"/>
    <mergeCell ref="A306:C306"/>
    <mergeCell ref="A278:C278"/>
    <mergeCell ref="E36:G36"/>
    <mergeCell ref="E11:G11"/>
    <mergeCell ref="A47:C47"/>
    <mergeCell ref="E207:G207"/>
    <mergeCell ref="E334:G334"/>
    <mergeCell ref="A22:C22"/>
    <mergeCell ref="E113:G113"/>
    <mergeCell ref="E100:G100"/>
    <mergeCell ref="E271:G271"/>
    <mergeCell ref="E336:G336"/>
    <mergeCell ref="E136:G136"/>
    <mergeCell ref="A134:C134"/>
    <mergeCell ref="E115:G115"/>
    <mergeCell ref="E102:G102"/>
    <mergeCell ref="E273:G273"/>
    <mergeCell ref="A167:C167"/>
    <mergeCell ref="A182:C182"/>
    <mergeCell ref="A304:C304"/>
    <mergeCell ref="E62:G62"/>
    <mergeCell ref="A98:C98"/>
    <mergeCell ref="A169:C169"/>
    <mergeCell ref="A225:C225"/>
    <mergeCell ref="E127:G127"/>
    <mergeCell ref="E347:G347"/>
    <mergeCell ref="E4:G4"/>
    <mergeCell ref="A162:C162"/>
    <mergeCell ref="E64:G64"/>
    <mergeCell ref="A227:C227"/>
    <mergeCell ref="E362:G362"/>
    <mergeCell ref="E51:G51"/>
    <mergeCell ref="E156:G156"/>
    <mergeCell ref="E349:G349"/>
    <mergeCell ref="A177:C177"/>
    <mergeCell ref="E128:G128"/>
    <mergeCell ref="A164:C164"/>
    <mergeCell ref="E155:G155"/>
    <mergeCell ref="A335:C335"/>
    <mergeCell ref="E364:G364"/>
    <mergeCell ref="E220:G220"/>
    <mergeCell ref="E291:G291"/>
    <mergeCell ref="E157:G157"/>
    <mergeCell ref="A195:C195"/>
    <mergeCell ref="A251:C251"/>
    <mergeCell ref="E284:G284"/>
    <mergeCell ref="E222:G222"/>
    <mergeCell ref="A322:C322"/>
    <mergeCell ref="A116:C116"/>
    <mergeCell ref="A309:C309"/>
    <mergeCell ref="E197:G197"/>
    <mergeCell ref="A17:C17"/>
    <mergeCell ref="A259:C259"/>
    <mergeCell ref="A253:C253"/>
    <mergeCell ref="A53:C53"/>
    <mergeCell ref="A109:C109"/>
    <mergeCell ref="E286:G286"/>
    <mergeCell ref="A180:C180"/>
    <mergeCell ref="A324:C324"/>
    <mergeCell ref="A240:C240"/>
    <mergeCell ref="A19:C19"/>
    <mergeCell ref="A68:C68"/>
    <mergeCell ref="A117:C117"/>
    <mergeCell ref="E75:G75"/>
    <mergeCell ref="A111:C111"/>
    <mergeCell ref="E146:G146"/>
    <mergeCell ref="E317:G317"/>
    <mergeCell ref="A353:C353"/>
    <mergeCell ref="E50:G50"/>
    <mergeCell ref="A328:C328"/>
    <mergeCell ref="E298:G298"/>
    <mergeCell ref="A48:C48"/>
    <mergeCell ref="A319:C319"/>
    <mergeCell ref="E344:G344"/>
    <mergeCell ref="A142:C142"/>
    <mergeCell ref="E175:G175"/>
    <mergeCell ref="E368:G368"/>
    <mergeCell ref="E52:G52"/>
    <mergeCell ref="E150:G150"/>
    <mergeCell ref="E39:G39"/>
    <mergeCell ref="E337:G337"/>
    <mergeCell ref="E373:G373"/>
    <mergeCell ref="E352:G352"/>
    <mergeCell ref="E103:G103"/>
    <mergeCell ref="E152:G152"/>
    <mergeCell ref="E339:G339"/>
    <mergeCell ref="E170:G170"/>
    <mergeCell ref="A233:C233"/>
    <mergeCell ref="A37:C37"/>
    <mergeCell ref="A208:C208"/>
    <mergeCell ref="E118:G118"/>
    <mergeCell ref="A297:C297"/>
    <mergeCell ref="A272:C272"/>
    <mergeCell ref="A235:C235"/>
    <mergeCell ref="A210:C210"/>
    <mergeCell ref="E226:G226"/>
    <mergeCell ref="E370:G370"/>
    <mergeCell ref="A247:C247"/>
    <mergeCell ref="A185:C185"/>
    <mergeCell ref="E57:G57"/>
    <mergeCell ref="E228:G228"/>
    <mergeCell ref="E355:G355"/>
    <mergeCell ref="E7:G7"/>
    <mergeCell ref="A43:C43"/>
    <mergeCell ref="E172:G172"/>
    <mergeCell ref="E305:G305"/>
    <mergeCell ref="E243:G243"/>
    <mergeCell ref="E365:G365"/>
    <mergeCell ref="E292:G292"/>
    <mergeCell ref="A63:C63"/>
    <mergeCell ref="E307:G307"/>
    <mergeCell ref="E58:G58"/>
    <mergeCell ref="A130:C130"/>
    <mergeCell ref="E223:G223"/>
    <mergeCell ref="A261:C261"/>
    <mergeCell ref="E294:G294"/>
    <mergeCell ref="A138:C138"/>
    <mergeCell ref="A132:C132"/>
    <mergeCell ref="E165:G165"/>
    <mergeCell ref="A325:C325"/>
    <mergeCell ref="E83:G83"/>
    <mergeCell ref="A119:C119"/>
    <mergeCell ref="E254:G254"/>
    <mergeCell ref="A69:C69"/>
    <mergeCell ref="A196:C196"/>
    <mergeCell ref="A367:C367"/>
    <mergeCell ref="A256:C256"/>
    <mergeCell ref="E20:G20"/>
    <mergeCell ref="A183:C183"/>
    <mergeCell ref="E318:G318"/>
    <mergeCell ref="A354:C354"/>
    <mergeCell ref="A133:C133"/>
    <mergeCell ref="E60:G60"/>
    <mergeCell ref="E177:G177"/>
    <mergeCell ref="A264:C264"/>
    <mergeCell ref="A198:C198"/>
    <mergeCell ref="E84:G84"/>
    <mergeCell ref="A369:C369"/>
    <mergeCell ref="E78:G78"/>
    <mergeCell ref="E149:G149"/>
    <mergeCell ref="E320:G320"/>
    <mergeCell ref="E176:G176"/>
    <mergeCell ref="A356:C356"/>
    <mergeCell ref="E114:G114"/>
    <mergeCell ref="E241:G241"/>
    <mergeCell ref="E360:G360"/>
    <mergeCell ref="E86:G86"/>
    <mergeCell ref="E191:G191"/>
    <mergeCell ref="E80:G80"/>
    <mergeCell ref="E178:G178"/>
    <mergeCell ref="E144:G144"/>
    <mergeCell ref="A38:C38"/>
    <mergeCell ref="A209:C209"/>
    <mergeCell ref="A147:C147"/>
    <mergeCell ref="A280:C280"/>
    <mergeCell ref="A274:C274"/>
    <mergeCell ref="A13:C13"/>
    <mergeCell ref="A372:C372"/>
    <mergeCell ref="A249:C249"/>
    <mergeCell ref="A40:C40"/>
    <mergeCell ref="A211:C211"/>
    <mergeCell ref="A67:C67"/>
    <mergeCell ref="A338:C338"/>
    <mergeCell ref="E267:G267"/>
    <mergeCell ref="A15:C15"/>
    <mergeCell ref="A186:C186"/>
    <mergeCell ref="A257:C257"/>
    <mergeCell ref="A51:C51"/>
    <mergeCell ref="E71:G71"/>
    <mergeCell ref="A82:C82"/>
    <mergeCell ref="E313:G313"/>
    <mergeCell ref="A275:C275"/>
    <mergeCell ref="A349:C349"/>
    <mergeCell ref="E33:G33"/>
    <mergeCell ref="A340:C340"/>
    <mergeCell ref="E269:G269"/>
    <mergeCell ref="E8:G8"/>
    <mergeCell ref="A315:C315"/>
    <mergeCell ref="E79:G79"/>
    <mergeCell ref="A146:C146"/>
    <mergeCell ref="E73:G73"/>
    <mergeCell ref="E244:G244"/>
    <mergeCell ref="E371:G371"/>
    <mergeCell ref="E171:G171"/>
    <mergeCell ref="E231:G231"/>
    <mergeCell ref="E358:G358"/>
    <mergeCell ref="E333:G333"/>
    <mergeCell ref="A252:C252"/>
    <mergeCell ref="E10:G10"/>
    <mergeCell ref="E137:G137"/>
    <mergeCell ref="E308:G308"/>
    <mergeCell ref="E173:G173"/>
    <mergeCell ref="A158:C158"/>
    <mergeCell ref="E74:G74"/>
    <mergeCell ref="E245:G245"/>
    <mergeCell ref="E310:G310"/>
    <mergeCell ref="E166:G166"/>
    <mergeCell ref="A204:C204"/>
    <mergeCell ref="A141:C141"/>
    <mergeCell ref="A135:C135"/>
    <mergeCell ref="E168:G168"/>
    <mergeCell ref="A206:C206"/>
    <mergeCell ref="A262:C262"/>
    <mergeCell ref="A62:C62"/>
    <mergeCell ref="A122:C122"/>
    <mergeCell ref="A72:C72"/>
    <mergeCell ref="A28:C28"/>
    <mergeCell ref="A199:C199"/>
    <mergeCell ref="E199:G199"/>
    <mergeCell ref="E255:G255"/>
    <mergeCell ref="E326:G326"/>
    <mergeCell ref="A362:C362"/>
    <mergeCell ref="E242:G242"/>
    <mergeCell ref="E361:G361"/>
    <mergeCell ref="A30:C30"/>
    <mergeCell ref="E21:G21"/>
    <mergeCell ref="E192:G192"/>
    <mergeCell ref="A59:C59"/>
    <mergeCell ref="E263:G263"/>
    <mergeCell ref="E219:G219"/>
    <mergeCell ref="E23:G23"/>
    <mergeCell ref="E194:G194"/>
    <mergeCell ref="A61:C61"/>
    <mergeCell ref="A88:C88"/>
    <mergeCell ref="A359:C359"/>
    <mergeCell ref="A153:C153"/>
    <mergeCell ref="A346:C346"/>
    <mergeCell ref="A54:C54"/>
    <mergeCell ref="E87:G87"/>
    <mergeCell ref="A41:C41"/>
    <mergeCell ref="A90:C90"/>
    <mergeCell ref="A283:C283"/>
    <mergeCell ref="A217:C217"/>
    <mergeCell ref="A277:C277"/>
    <mergeCell ref="A375:C375"/>
    <mergeCell ref="A56:C56"/>
    <mergeCell ref="A27:C27"/>
    <mergeCell ref="A154:C154"/>
    <mergeCell ref="E252:G252"/>
    <mergeCell ref="A285:C285"/>
    <mergeCell ref="A341:C341"/>
    <mergeCell ref="E105:G105"/>
    <mergeCell ref="A129:C129"/>
    <mergeCell ref="E99:G99"/>
    <mergeCell ref="E366:G366"/>
    <mergeCell ref="E49:G49"/>
    <mergeCell ref="A85:C85"/>
    <mergeCell ref="E316:G316"/>
    <mergeCell ref="E110:G110"/>
    <mergeCell ref="E163:G163"/>
    <mergeCell ref="A131:C131"/>
    <mergeCell ref="E101:G101"/>
    <mergeCell ref="E187:G187"/>
    <mergeCell ref="E76:G76"/>
    <mergeCell ref="E174:G174"/>
    <mergeCell ref="A230:C230"/>
    <mergeCell ref="E251:G251"/>
    <mergeCell ref="E189:G189"/>
    <mergeCell ref="A295:C295"/>
    <mergeCell ref="E238:G238"/>
    <mergeCell ref="A9:C9"/>
    <mergeCell ref="A143:C143"/>
    <mergeCell ref="A276:C276"/>
    <mergeCell ref="A232:C232"/>
    <mergeCell ref="A36:C36"/>
    <mergeCell ref="A11:C11"/>
    <mergeCell ref="A207:C207"/>
    <mergeCell ref="A1:C1"/>
    <mergeCell ref="A296:C296"/>
    <mergeCell ref="A78:C78"/>
    <mergeCell ref="A271:C271"/>
    <mergeCell ref="A65:C65"/>
    <mergeCell ref="E29:G29"/>
    <mergeCell ref="E200:G200"/>
    <mergeCell ref="A363:C363"/>
    <mergeCell ref="E94:G94"/>
    <mergeCell ref="E265:G265"/>
    <mergeCell ref="A80:C80"/>
    <mergeCell ref="A273:C273"/>
    <mergeCell ref="E31:G31"/>
    <mergeCell ref="E202:G202"/>
    <mergeCell ref="E158:G158"/>
    <mergeCell ref="E329:G329"/>
    <mergeCell ref="A365:C365"/>
    <mergeCell ref="E108:G108"/>
    <mergeCell ref="A179:C179"/>
    <mergeCell ref="E95:G95"/>
    <mergeCell ref="E266:G266"/>
    <mergeCell ref="A302:C302"/>
    <mergeCell ref="E89:G89"/>
    <mergeCell ref="E260:G260"/>
    <mergeCell ref="A298:C298"/>
    <mergeCell ref="E331:G331"/>
    <mergeCell ref="E26:G26"/>
    <mergeCell ref="A91:C91"/>
    <mergeCell ref="E124:G124"/>
    <mergeCell ref="E120:G120"/>
    <mergeCell ref="A156:C156"/>
    <mergeCell ref="A327:C327"/>
    <mergeCell ref="A299:C299"/>
    <mergeCell ref="A155:C155"/>
    <mergeCell ref="A293:C293"/>
    <mergeCell ref="A93:C93"/>
    <mergeCell ref="E184:G184"/>
    <mergeCell ref="A220:C220"/>
    <mergeCell ref="E342:G342"/>
    <mergeCell ref="E121:G121"/>
    <mergeCell ref="A157:C157"/>
    <mergeCell ref="A284:C284"/>
    <mergeCell ref="A222:C222"/>
    <mergeCell ref="E357:G357"/>
    <mergeCell ref="E42:G42"/>
    <mergeCell ref="E213:G213"/>
    <mergeCell ref="E151:G151"/>
    <mergeCell ref="E188:G188"/>
    <mergeCell ref="E126:G126"/>
    <mergeCell ref="E123:G123"/>
    <mergeCell ref="E44:G44"/>
    <mergeCell ref="E215:G215"/>
    <mergeCell ref="E190:G190"/>
    <mergeCell ref="A75:C75"/>
    <mergeCell ref="A246:C246"/>
    <mergeCell ref="E279:G279"/>
    <mergeCell ref="A317:C317"/>
    <mergeCell ref="A12:C12"/>
    <mergeCell ref="A248:C248"/>
    <mergeCell ref="A104:C104"/>
    <mergeCell ref="A175:C175"/>
    <mergeCell ref="A321:C321"/>
    <mergeCell ref="A14:C14"/>
    <mergeCell ref="A312:C312"/>
    <mergeCell ref="E70:G70"/>
    <mergeCell ref="A106:C106"/>
    <mergeCell ref="A373:C373"/>
    <mergeCell ref="A81:C81"/>
    <mergeCell ref="A323:C323"/>
    <mergeCell ref="E32:G32"/>
    <mergeCell ref="E159:G159"/>
    <mergeCell ref="E134:G134"/>
    <mergeCell ref="E97:G97"/>
    <mergeCell ref="A170:C170"/>
    <mergeCell ref="E268:G268"/>
    <mergeCell ref="E330:G330"/>
    <mergeCell ref="A289:C289"/>
    <mergeCell ref="E109:G109"/>
    <mergeCell ref="E47:G47"/>
    <mergeCell ref="E96:G96"/>
    <mergeCell ref="E145:G145"/>
    <mergeCell ref="E139:G139"/>
    <mergeCell ref="E332:G332"/>
    <mergeCell ref="A226:C226"/>
    <mergeCell ref="A201:C201"/>
    <mergeCell ref="E111:G111"/>
    <mergeCell ref="E98:G98"/>
    <mergeCell ref="E203:G203"/>
    <mergeCell ref="A241:C241"/>
    <mergeCell ref="A228:C228"/>
    <mergeCell ref="E140:G140"/>
    <mergeCell ref="A7:C7"/>
    <mergeCell ref="A172:C172"/>
    <mergeCell ref="A305:C305"/>
    <mergeCell ref="A243:C243"/>
    <mergeCell ref="E63:G63"/>
    <mergeCell ref="A25:C25"/>
    <mergeCell ref="A99:C99"/>
    <mergeCell ref="A221:C221"/>
    <mergeCell ref="A292:C292"/>
    <mergeCell ref="A286:C286"/>
    <mergeCell ref="E221:G221"/>
    <mergeCell ref="A236:C236"/>
    <mergeCell ref="A163:C163"/>
    <mergeCell ref="A101:C101"/>
    <mergeCell ref="A223:C223"/>
    <mergeCell ref="A294:C294"/>
    <mergeCell ref="A2:C2"/>
    <mergeCell ref="E350:G350"/>
    <mergeCell ref="E2:G2"/>
    <mergeCell ref="E300:G300"/>
    <mergeCell ref="E45:G45"/>
    <mergeCell ref="E216:G216"/>
    <mergeCell ref="E116:G116"/>
    <mergeCell ref="A254:C254"/>
    <mergeCell ref="E287:G287"/>
    <mergeCell ref="E281:G281"/>
    <mergeCell ref="A20:C20"/>
    <mergeCell ref="A125:C125"/>
    <mergeCell ref="E218:G218"/>
    <mergeCell ref="A318:C318"/>
    <mergeCell ref="E345:G345"/>
    <mergeCell ref="A112:C112"/>
    <mergeCell ref="E22:G22"/>
    <mergeCell ref="E193:G193"/>
    <mergeCell ref="E264:G264"/>
    <mergeCell ref="A348:C348"/>
    <mergeCell ref="A127:C127"/>
    <mergeCell ref="E282:G282"/>
    <mergeCell ref="A320:C320"/>
    <mergeCell ref="A176:C176"/>
    <mergeCell ref="A314:C314"/>
    <mergeCell ref="A114:C114"/>
    <mergeCell ref="A347:C347"/>
    <mergeCell ref="E122:G122"/>
    <mergeCell ref="A64:C64"/>
    <mergeCell ref="A191:C191"/>
    <mergeCell ref="A107:C107"/>
    <mergeCell ref="E142:G142"/>
    <mergeCell ref="A178:C178"/>
    <mergeCell ref="E234:G234"/>
    <mergeCell ref="E209:G209"/>
    <mergeCell ref="E147:G147"/>
    <mergeCell ref="E236:G236"/>
    <mergeCell ref="E211:G211"/>
    <mergeCell ref="E229:G229"/>
    <mergeCell ref="A267:C267"/>
    <mergeCell ref="E148:G148"/>
    <mergeCell ref="A242:C242"/>
    <mergeCell ref="E275:G275"/>
    <mergeCell ref="E335:G335"/>
    <mergeCell ref="A33:C33"/>
    <mergeCell ref="A269:C269"/>
    <mergeCell ref="A8:C8"/>
    <mergeCell ref="A244:C244"/>
    <mergeCell ref="A100:C100"/>
    <mergeCell ref="A342:C342"/>
    <mergeCell ref="A231:C231"/>
    <mergeCell ref="A35:C35"/>
    <mergeCell ref="A336:C336"/>
    <mergeCell ref="A333:C333"/>
    <mergeCell ref="A10:C10"/>
    <mergeCell ref="A115:C115"/>
    <mergeCell ref="A308:C308"/>
    <mergeCell ref="E66:G66"/>
    <mergeCell ref="A102:C102"/>
    <mergeCell ref="A344:C344"/>
    <mergeCell ref="E53:G53"/>
    <mergeCell ref="E351:G351"/>
    <mergeCell ref="A245:C245"/>
    <mergeCell ref="E289:G289"/>
    <mergeCell ref="E3:G3"/>
    <mergeCell ref="A39:C39"/>
    <mergeCell ref="A310:C310"/>
    <mergeCell ref="E130:G130"/>
    <mergeCell ref="A166:C166"/>
    <mergeCell ref="E68:G68"/>
    <mergeCell ref="A337:C337"/>
    <mergeCell ref="E117:G117"/>
    <mergeCell ref="E55:G55"/>
    <mergeCell ref="E160:G160"/>
    <mergeCell ref="E353:G353"/>
    <mergeCell ref="E67:G67"/>
    <mergeCell ref="A103:C103"/>
    <mergeCell ref="E5:G5"/>
    <mergeCell ref="E132:G132"/>
    <mergeCell ref="A168:C168"/>
    <mergeCell ref="E303:G303"/>
    <mergeCell ref="A339:C339"/>
    <mergeCell ref="E48:G48"/>
    <mergeCell ref="E290:G290"/>
    <mergeCell ref="E224:G224"/>
  </mergeCells>
  <pageMargins left="0.4" right="0.4" top="0.4" bottom="0.4" header="0.5" footer="0.5"/>
  <pageSetup orientation="portrait" paperSize="1" fitToHeight="0" fitToWidth="1"/>
  <rowBreaks count="10" manualBreakCount="10">
    <brk id="35" min="0" max="16383" man="1"/>
    <brk id="70" min="0" max="16383" man="1"/>
    <brk id="105" min="0" max="16383" man="1"/>
    <brk id="140" min="0" max="16383" man="1"/>
    <brk id="175" min="0" max="16383" man="1"/>
    <brk id="210" min="0" max="16383" man="1"/>
    <brk id="245" min="0" max="16383" man="1"/>
    <brk id="280" min="0" max="16383" man="1"/>
    <brk id="315" min="0" max="16383" man="1"/>
    <brk id="350" min="0" max="16383" man="1"/>
  </rowBreaks>
</worksheet>
</file>

<file path=xl/worksheets/sheet7.xml><?xml version="1.0" encoding="utf-8"?>
<worksheet xmlns="http://schemas.openxmlformats.org/spreadsheetml/2006/main">
  <sheetPr>
    <outlinePr summaryBelow="1" summaryRight="1"/>
    <pageSetUpPr fitToPage="1"/>
  </sheetPr>
  <dimension ref="A1:G375"/>
  <sheetViews>
    <sheetView workbookViewId="0">
      <selection activeCell="A1" sqref="A1"/>
    </sheetView>
  </sheetViews>
  <sheetFormatPr baseColWidth="8" defaultRowHeight="15"/>
  <cols>
    <col width="22" customWidth="1" min="1" max="1"/>
    <col width="10" customWidth="1" min="2" max="2"/>
    <col width="14" customWidth="1" min="3" max="3"/>
    <col width="3" customWidth="1" min="4" max="4"/>
    <col width="22" customWidth="1" min="5" max="5"/>
    <col width="10" customWidth="1" min="6" max="6"/>
    <col width="14" customWidth="1" min="7" max="7"/>
  </cols>
  <sheetData>
    <row r="1" ht="24" customHeight="1">
      <c r="A1" s="9">
        <f>IF('New students'!A2="","",'New students'!A2)</f>
        <v/>
      </c>
      <c r="E1" s="9">
        <f>IF('New students'!A3="","",'New students'!A3)</f>
        <v/>
      </c>
    </row>
    <row r="2" ht="24" customHeight="1">
      <c r="A2" s="10">
        <f>IF('New students'!A2="","","Period "&amp;'New students'!B2&amp;"   ·   Student number "&amp;'New students'!C2)</f>
        <v/>
      </c>
      <c r="B2" s="6" t="n"/>
      <c r="C2" s="6" t="n"/>
      <c r="D2" s="6" t="n"/>
      <c r="E2" s="10">
        <f>IF('New students'!A3="","","Period "&amp;'New students'!B3&amp;"   ·   Student number "&amp;'New students'!C3)</f>
        <v/>
      </c>
      <c r="F2" s="6" t="n"/>
      <c r="G2" s="6" t="n"/>
    </row>
    <row r="3" ht="18" customHeight="1">
      <c r="A3" s="11">
        <f>IF('New students'!A2="","","Open: "&amp;Settings!$B$1)</f>
        <v/>
      </c>
      <c r="B3" s="6" t="n"/>
      <c r="C3" s="6" t="n"/>
      <c r="D3" s="6" t="n"/>
      <c r="E3" s="11">
        <f>IF('New students'!A3="","","Open: "&amp;Settings!$B$1)</f>
        <v/>
      </c>
      <c r="F3" s="6" t="n"/>
      <c r="G3" s="6" t="n"/>
    </row>
    <row r="4" ht="30" customHeight="1">
      <c r="A4" s="11">
        <f>IF('New students'!A2="","","Tap Sign in, type your period and number, then sign in with your school Google account.")</f>
        <v/>
      </c>
      <c r="B4" s="6" t="n"/>
      <c r="C4" s="6" t="n"/>
      <c r="D4" s="6" t="n"/>
      <c r="E4" s="11">
        <f>IF('New students'!A3="","","Tap Sign in, type your period and number, then sign in with your school Google account.")</f>
        <v/>
      </c>
      <c r="F4" s="6" t="n"/>
      <c r="G4" s="6" t="n"/>
    </row>
    <row r="5" ht="10" customHeight="1">
      <c r="A5" s="12" t="n"/>
      <c r="B5" s="13" t="n"/>
      <c r="C5" s="13" t="n"/>
      <c r="D5" s="6" t="n"/>
      <c r="E5" s="12" t="n"/>
      <c r="F5" s="13" t="n"/>
      <c r="G5" s="13" t="n"/>
    </row>
    <row r="6" ht="24" customHeight="1">
      <c r="A6" s="9">
        <f>IF('New students'!A4="","",'New students'!A4)</f>
        <v/>
      </c>
      <c r="B6" s="6" t="n"/>
      <c r="C6" s="6" t="n"/>
      <c r="D6" s="6" t="n"/>
      <c r="E6" s="9">
        <f>IF('New students'!A5="","",'New students'!A5)</f>
        <v/>
      </c>
      <c r="F6" s="6" t="n"/>
      <c r="G6" s="6" t="n"/>
    </row>
    <row r="7" ht="24" customHeight="1">
      <c r="A7" s="10">
        <f>IF('New students'!A4="","","Period "&amp;'New students'!B4&amp;"   ·   Student number "&amp;'New students'!C4)</f>
        <v/>
      </c>
      <c r="B7" s="6" t="n"/>
      <c r="C7" s="6" t="n"/>
      <c r="D7" s="6" t="n"/>
      <c r="E7" s="10">
        <f>IF('New students'!A5="","","Period "&amp;'New students'!B5&amp;"   ·   Student number "&amp;'New students'!C5)</f>
        <v/>
      </c>
      <c r="F7" s="6" t="n"/>
      <c r="G7" s="6" t="n"/>
    </row>
    <row r="8" ht="18" customHeight="1">
      <c r="A8" s="11">
        <f>IF('New students'!A4="","","Open: "&amp;Settings!$B$1)</f>
        <v/>
      </c>
      <c r="B8" s="6" t="n"/>
      <c r="C8" s="6" t="n"/>
      <c r="D8" s="6" t="n"/>
      <c r="E8" s="11">
        <f>IF('New students'!A5="","","Open: "&amp;Settings!$B$1)</f>
        <v/>
      </c>
      <c r="F8" s="6" t="n"/>
      <c r="G8" s="6" t="n"/>
    </row>
    <row r="9" ht="30" customHeight="1">
      <c r="A9" s="11">
        <f>IF('New students'!A4="","","Tap Sign in, type your period and number, then sign in with your school Google account.")</f>
        <v/>
      </c>
      <c r="B9" s="6" t="n"/>
      <c r="C9" s="6" t="n"/>
      <c r="D9" s="6" t="n"/>
      <c r="E9" s="11">
        <f>IF('New students'!A5="","","Tap Sign in, type your period and number, then sign in with your school Google account.")</f>
        <v/>
      </c>
      <c r="F9" s="6" t="n"/>
      <c r="G9" s="6" t="n"/>
    </row>
    <row r="10" ht="10" customHeight="1">
      <c r="A10" s="12" t="n"/>
      <c r="B10" s="13" t="n"/>
      <c r="C10" s="13" t="n"/>
      <c r="D10" s="6" t="n"/>
      <c r="E10" s="12" t="n"/>
      <c r="F10" s="13" t="n"/>
      <c r="G10" s="13" t="n"/>
    </row>
    <row r="11" ht="24" customHeight="1">
      <c r="A11" s="9">
        <f>IF('New students'!A6="","",'New students'!A6)</f>
        <v/>
      </c>
      <c r="B11" s="6" t="n"/>
      <c r="C11" s="6" t="n"/>
      <c r="D11" s="6" t="n"/>
      <c r="E11" s="9">
        <f>IF('New students'!A7="","",'New students'!A7)</f>
        <v/>
      </c>
      <c r="F11" s="6" t="n"/>
      <c r="G11" s="6" t="n"/>
    </row>
    <row r="12" ht="24" customHeight="1">
      <c r="A12" s="10">
        <f>IF('New students'!A6="","","Period "&amp;'New students'!B6&amp;"   ·   Student number "&amp;'New students'!C6)</f>
        <v/>
      </c>
      <c r="B12" s="6" t="n"/>
      <c r="C12" s="6" t="n"/>
      <c r="D12" s="6" t="n"/>
      <c r="E12" s="10">
        <f>IF('New students'!A7="","","Period "&amp;'New students'!B7&amp;"   ·   Student number "&amp;'New students'!C7)</f>
        <v/>
      </c>
      <c r="F12" s="6" t="n"/>
      <c r="G12" s="6" t="n"/>
    </row>
    <row r="13" ht="18" customHeight="1">
      <c r="A13" s="11">
        <f>IF('New students'!A6="","","Open: "&amp;Settings!$B$1)</f>
        <v/>
      </c>
      <c r="B13" s="6" t="n"/>
      <c r="C13" s="6" t="n"/>
      <c r="D13" s="6" t="n"/>
      <c r="E13" s="11">
        <f>IF('New students'!A7="","","Open: "&amp;Settings!$B$1)</f>
        <v/>
      </c>
      <c r="F13" s="6" t="n"/>
      <c r="G13" s="6" t="n"/>
    </row>
    <row r="14" ht="30" customHeight="1">
      <c r="A14" s="11">
        <f>IF('New students'!A6="","","Tap Sign in, type your period and number, then sign in with your school Google account.")</f>
        <v/>
      </c>
      <c r="B14" s="6" t="n"/>
      <c r="C14" s="6" t="n"/>
      <c r="D14" s="6" t="n"/>
      <c r="E14" s="11">
        <f>IF('New students'!A7="","","Tap Sign in, type your period and number, then sign in with your school Google account.")</f>
        <v/>
      </c>
      <c r="F14" s="6" t="n"/>
      <c r="G14" s="6" t="n"/>
    </row>
    <row r="15" ht="10" customHeight="1">
      <c r="A15" s="12" t="n"/>
      <c r="B15" s="13" t="n"/>
      <c r="C15" s="13" t="n"/>
      <c r="D15" s="6" t="n"/>
      <c r="E15" s="12" t="n"/>
      <c r="F15" s="13" t="n"/>
      <c r="G15" s="13" t="n"/>
    </row>
    <row r="16" ht="24" customHeight="1">
      <c r="A16" s="9">
        <f>IF('New students'!A8="","",'New students'!A8)</f>
        <v/>
      </c>
      <c r="B16" s="6" t="n"/>
      <c r="C16" s="6" t="n"/>
      <c r="D16" s="6" t="n"/>
      <c r="E16" s="9">
        <f>IF('New students'!A9="","",'New students'!A9)</f>
        <v/>
      </c>
      <c r="F16" s="6" t="n"/>
      <c r="G16" s="6" t="n"/>
    </row>
    <row r="17" ht="24" customHeight="1">
      <c r="A17" s="10">
        <f>IF('New students'!A8="","","Period "&amp;'New students'!B8&amp;"   ·   Student number "&amp;'New students'!C8)</f>
        <v/>
      </c>
      <c r="B17" s="6" t="n"/>
      <c r="C17" s="6" t="n"/>
      <c r="D17" s="6" t="n"/>
      <c r="E17" s="10">
        <f>IF('New students'!A9="","","Period "&amp;'New students'!B9&amp;"   ·   Student number "&amp;'New students'!C9)</f>
        <v/>
      </c>
      <c r="F17" s="6" t="n"/>
      <c r="G17" s="6" t="n"/>
    </row>
    <row r="18" ht="18" customHeight="1">
      <c r="A18" s="11">
        <f>IF('New students'!A8="","","Open: "&amp;Settings!$B$1)</f>
        <v/>
      </c>
      <c r="B18" s="6" t="n"/>
      <c r="C18" s="6" t="n"/>
      <c r="D18" s="6" t="n"/>
      <c r="E18" s="11">
        <f>IF('New students'!A9="","","Open: "&amp;Settings!$B$1)</f>
        <v/>
      </c>
      <c r="F18" s="6" t="n"/>
      <c r="G18" s="6" t="n"/>
    </row>
    <row r="19" ht="30" customHeight="1">
      <c r="A19" s="11">
        <f>IF('New students'!A8="","","Tap Sign in, type your period and number, then sign in with your school Google account.")</f>
        <v/>
      </c>
      <c r="B19" s="6" t="n"/>
      <c r="C19" s="6" t="n"/>
      <c r="D19" s="6" t="n"/>
      <c r="E19" s="11">
        <f>IF('New students'!A9="","","Tap Sign in, type your period and number, then sign in with your school Google account.")</f>
        <v/>
      </c>
      <c r="F19" s="6" t="n"/>
      <c r="G19" s="6" t="n"/>
    </row>
    <row r="20" ht="10" customHeight="1">
      <c r="A20" s="12" t="n"/>
      <c r="B20" s="13" t="n"/>
      <c r="C20" s="13" t="n"/>
      <c r="D20" s="6" t="n"/>
      <c r="E20" s="12" t="n"/>
      <c r="F20" s="13" t="n"/>
      <c r="G20" s="13" t="n"/>
    </row>
    <row r="21" ht="24" customHeight="1">
      <c r="A21" s="9">
        <f>IF('New students'!A10="","",'New students'!A10)</f>
        <v/>
      </c>
      <c r="B21" s="6" t="n"/>
      <c r="C21" s="6" t="n"/>
      <c r="D21" s="6" t="n"/>
      <c r="E21" s="9">
        <f>IF('New students'!A11="","",'New students'!A11)</f>
        <v/>
      </c>
      <c r="F21" s="6" t="n"/>
      <c r="G21" s="6" t="n"/>
    </row>
    <row r="22" ht="24" customHeight="1">
      <c r="A22" s="10">
        <f>IF('New students'!A10="","","Period "&amp;'New students'!B10&amp;"   ·   Student number "&amp;'New students'!C10)</f>
        <v/>
      </c>
      <c r="B22" s="6" t="n"/>
      <c r="C22" s="6" t="n"/>
      <c r="D22" s="6" t="n"/>
      <c r="E22" s="10">
        <f>IF('New students'!A11="","","Period "&amp;'New students'!B11&amp;"   ·   Student number "&amp;'New students'!C11)</f>
        <v/>
      </c>
      <c r="F22" s="6" t="n"/>
      <c r="G22" s="6" t="n"/>
    </row>
    <row r="23" ht="18" customHeight="1">
      <c r="A23" s="11">
        <f>IF('New students'!A10="","","Open: "&amp;Settings!$B$1)</f>
        <v/>
      </c>
      <c r="B23" s="6" t="n"/>
      <c r="C23" s="6" t="n"/>
      <c r="D23" s="6" t="n"/>
      <c r="E23" s="11">
        <f>IF('New students'!A11="","","Open: "&amp;Settings!$B$1)</f>
        <v/>
      </c>
      <c r="F23" s="6" t="n"/>
      <c r="G23" s="6" t="n"/>
    </row>
    <row r="24" ht="30" customHeight="1">
      <c r="A24" s="11">
        <f>IF('New students'!A10="","","Tap Sign in, type your period and number, then sign in with your school Google account.")</f>
        <v/>
      </c>
      <c r="B24" s="6" t="n"/>
      <c r="C24" s="6" t="n"/>
      <c r="D24" s="6" t="n"/>
      <c r="E24" s="11">
        <f>IF('New students'!A11="","","Tap Sign in, type your period and number, then sign in with your school Google account.")</f>
        <v/>
      </c>
      <c r="F24" s="6" t="n"/>
      <c r="G24" s="6" t="n"/>
    </row>
    <row r="25" ht="10" customHeight="1">
      <c r="A25" s="12" t="n"/>
      <c r="B25" s="13" t="n"/>
      <c r="C25" s="13" t="n"/>
      <c r="D25" s="6" t="n"/>
      <c r="E25" s="12" t="n"/>
      <c r="F25" s="13" t="n"/>
      <c r="G25" s="13" t="n"/>
    </row>
    <row r="26" ht="24" customHeight="1">
      <c r="A26" s="9">
        <f>IF('New students'!A12="","",'New students'!A12)</f>
        <v/>
      </c>
      <c r="B26" s="6" t="n"/>
      <c r="C26" s="6" t="n"/>
      <c r="D26" s="6" t="n"/>
      <c r="E26" s="9">
        <f>IF('New students'!A13="","",'New students'!A13)</f>
        <v/>
      </c>
      <c r="F26" s="6" t="n"/>
      <c r="G26" s="6" t="n"/>
    </row>
    <row r="27" ht="24" customHeight="1">
      <c r="A27" s="10">
        <f>IF('New students'!A12="","","Period "&amp;'New students'!B12&amp;"   ·   Student number "&amp;'New students'!C12)</f>
        <v/>
      </c>
      <c r="B27" s="6" t="n"/>
      <c r="C27" s="6" t="n"/>
      <c r="D27" s="6" t="n"/>
      <c r="E27" s="10">
        <f>IF('New students'!A13="","","Period "&amp;'New students'!B13&amp;"   ·   Student number "&amp;'New students'!C13)</f>
        <v/>
      </c>
      <c r="F27" s="6" t="n"/>
      <c r="G27" s="6" t="n"/>
    </row>
    <row r="28" ht="18" customHeight="1">
      <c r="A28" s="11">
        <f>IF('New students'!A12="","","Open: "&amp;Settings!$B$1)</f>
        <v/>
      </c>
      <c r="B28" s="6" t="n"/>
      <c r="C28" s="6" t="n"/>
      <c r="D28" s="6" t="n"/>
      <c r="E28" s="11">
        <f>IF('New students'!A13="","","Open: "&amp;Settings!$B$1)</f>
        <v/>
      </c>
      <c r="F28" s="6" t="n"/>
      <c r="G28" s="6" t="n"/>
    </row>
    <row r="29" ht="30" customHeight="1">
      <c r="A29" s="11">
        <f>IF('New students'!A12="","","Tap Sign in, type your period and number, then sign in with your school Google account.")</f>
        <v/>
      </c>
      <c r="B29" s="6" t="n"/>
      <c r="C29" s="6" t="n"/>
      <c r="D29" s="6" t="n"/>
      <c r="E29" s="11">
        <f>IF('New students'!A13="","","Tap Sign in, type your period and number, then sign in with your school Google account.")</f>
        <v/>
      </c>
      <c r="F29" s="6" t="n"/>
      <c r="G29" s="6" t="n"/>
    </row>
    <row r="30" ht="10" customHeight="1">
      <c r="A30" s="12" t="n"/>
      <c r="B30" s="13" t="n"/>
      <c r="C30" s="13" t="n"/>
      <c r="D30" s="6" t="n"/>
      <c r="E30" s="12" t="n"/>
      <c r="F30" s="13" t="n"/>
      <c r="G30" s="13" t="n"/>
    </row>
    <row r="31" ht="24" customHeight="1">
      <c r="A31" s="9">
        <f>IF('New students'!A14="","",'New students'!A14)</f>
        <v/>
      </c>
      <c r="B31" s="6" t="n"/>
      <c r="C31" s="6" t="n"/>
      <c r="D31" s="6" t="n"/>
      <c r="E31" s="9">
        <f>IF('New students'!A15="","",'New students'!A15)</f>
        <v/>
      </c>
      <c r="F31" s="6" t="n"/>
      <c r="G31" s="6" t="n"/>
    </row>
    <row r="32" ht="24" customHeight="1">
      <c r="A32" s="10">
        <f>IF('New students'!A14="","","Period "&amp;'New students'!B14&amp;"   ·   Student number "&amp;'New students'!C14)</f>
        <v/>
      </c>
      <c r="B32" s="6" t="n"/>
      <c r="C32" s="6" t="n"/>
      <c r="D32" s="6" t="n"/>
      <c r="E32" s="10">
        <f>IF('New students'!A15="","","Period "&amp;'New students'!B15&amp;"   ·   Student number "&amp;'New students'!C15)</f>
        <v/>
      </c>
      <c r="F32" s="6" t="n"/>
      <c r="G32" s="6" t="n"/>
    </row>
    <row r="33" ht="18" customHeight="1">
      <c r="A33" s="11">
        <f>IF('New students'!A14="","","Open: "&amp;Settings!$B$1)</f>
        <v/>
      </c>
      <c r="B33" s="6" t="n"/>
      <c r="C33" s="6" t="n"/>
      <c r="D33" s="6" t="n"/>
      <c r="E33" s="11">
        <f>IF('New students'!A15="","","Open: "&amp;Settings!$B$1)</f>
        <v/>
      </c>
      <c r="F33" s="6" t="n"/>
      <c r="G33" s="6" t="n"/>
    </row>
    <row r="34" ht="30" customHeight="1">
      <c r="A34" s="11">
        <f>IF('New students'!A14="","","Tap Sign in, type your period and number, then sign in with your school Google account.")</f>
        <v/>
      </c>
      <c r="B34" s="6" t="n"/>
      <c r="C34" s="6" t="n"/>
      <c r="D34" s="6" t="n"/>
      <c r="E34" s="11">
        <f>IF('New students'!A15="","","Tap Sign in, type your period and number, then sign in with your school Google account.")</f>
        <v/>
      </c>
      <c r="F34" s="6" t="n"/>
      <c r="G34" s="6" t="n"/>
    </row>
    <row r="35" ht="10" customHeight="1">
      <c r="A35" s="12" t="n"/>
      <c r="B35" s="13" t="n"/>
      <c r="C35" s="13" t="n"/>
      <c r="D35" s="6" t="n"/>
      <c r="E35" s="12" t="n"/>
      <c r="F35" s="13" t="n"/>
      <c r="G35" s="13" t="n"/>
    </row>
    <row r="36" ht="24" customHeight="1">
      <c r="A36" s="9">
        <f>IF('New students'!A16="","",'New students'!A16)</f>
        <v/>
      </c>
      <c r="B36" s="6" t="n"/>
      <c r="C36" s="6" t="n"/>
      <c r="D36" s="6" t="n"/>
      <c r="E36" s="9">
        <f>IF('New students'!A17="","",'New students'!A17)</f>
        <v/>
      </c>
      <c r="F36" s="6" t="n"/>
      <c r="G36" s="6" t="n"/>
    </row>
    <row r="37" ht="24" customHeight="1">
      <c r="A37" s="10">
        <f>IF('New students'!A16="","","Period "&amp;'New students'!B16&amp;"   ·   Student number "&amp;'New students'!C16)</f>
        <v/>
      </c>
      <c r="B37" s="6" t="n"/>
      <c r="C37" s="6" t="n"/>
      <c r="D37" s="6" t="n"/>
      <c r="E37" s="10">
        <f>IF('New students'!A17="","","Period "&amp;'New students'!B17&amp;"   ·   Student number "&amp;'New students'!C17)</f>
        <v/>
      </c>
      <c r="F37" s="6" t="n"/>
      <c r="G37" s="6" t="n"/>
    </row>
    <row r="38" ht="18" customHeight="1">
      <c r="A38" s="11">
        <f>IF('New students'!A16="","","Open: "&amp;Settings!$B$1)</f>
        <v/>
      </c>
      <c r="B38" s="6" t="n"/>
      <c r="C38" s="6" t="n"/>
      <c r="D38" s="6" t="n"/>
      <c r="E38" s="11">
        <f>IF('New students'!A17="","","Open: "&amp;Settings!$B$1)</f>
        <v/>
      </c>
      <c r="F38" s="6" t="n"/>
      <c r="G38" s="6" t="n"/>
    </row>
    <row r="39" ht="30" customHeight="1">
      <c r="A39" s="11">
        <f>IF('New students'!A16="","","Tap Sign in, type your period and number, then sign in with your school Google account.")</f>
        <v/>
      </c>
      <c r="B39" s="6" t="n"/>
      <c r="C39" s="6" t="n"/>
      <c r="D39" s="6" t="n"/>
      <c r="E39" s="11">
        <f>IF('New students'!A17="","","Tap Sign in, type your period and number, then sign in with your school Google account.")</f>
        <v/>
      </c>
      <c r="F39" s="6" t="n"/>
      <c r="G39" s="6" t="n"/>
    </row>
    <row r="40" ht="10" customHeight="1">
      <c r="A40" s="12" t="n"/>
      <c r="B40" s="13" t="n"/>
      <c r="C40" s="13" t="n"/>
      <c r="D40" s="6" t="n"/>
      <c r="E40" s="12" t="n"/>
      <c r="F40" s="13" t="n"/>
      <c r="G40" s="13" t="n"/>
    </row>
    <row r="41" ht="24" customHeight="1">
      <c r="A41" s="9">
        <f>IF('New students'!A18="","",'New students'!A18)</f>
        <v/>
      </c>
      <c r="E41" s="9">
        <f>IF('New students'!A19="","",'New students'!A19)</f>
        <v/>
      </c>
    </row>
    <row r="42" ht="24" customHeight="1">
      <c r="A42" s="10">
        <f>IF('New students'!A18="","","Period "&amp;'New students'!B18&amp;"   ·   Student number "&amp;'New students'!C18)</f>
        <v/>
      </c>
      <c r="E42" s="10">
        <f>IF('New students'!A19="","","Period "&amp;'New students'!B19&amp;"   ·   Student number "&amp;'New students'!C19)</f>
        <v/>
      </c>
    </row>
    <row r="43" ht="18" customHeight="1">
      <c r="A43" s="11">
        <f>IF('New students'!A18="","","Open: "&amp;Settings!$B$1)</f>
        <v/>
      </c>
      <c r="E43" s="11">
        <f>IF('New students'!A19="","","Open: "&amp;Settings!$B$1)</f>
        <v/>
      </c>
    </row>
    <row r="44" ht="30" customHeight="1">
      <c r="A44" s="11">
        <f>IF('New students'!A18="","","Tap Sign in, type your period and number, then sign in with your school Google account.")</f>
        <v/>
      </c>
      <c r="E44" s="11">
        <f>IF('New students'!A19="","","Tap Sign in, type your period and number, then sign in with your school Google account.")</f>
        <v/>
      </c>
    </row>
    <row r="45" ht="10" customHeight="1">
      <c r="A45" s="12" t="n"/>
      <c r="B45" s="14" t="n"/>
      <c r="C45" s="14" t="n"/>
      <c r="E45" s="12" t="n"/>
      <c r="F45" s="14" t="n"/>
      <c r="G45" s="14" t="n"/>
    </row>
    <row r="46" ht="24" customHeight="1">
      <c r="A46" s="9">
        <f>IF('New students'!A20="","",'New students'!A20)</f>
        <v/>
      </c>
      <c r="E46" s="9">
        <f>IF('New students'!A21="","",'New students'!A21)</f>
        <v/>
      </c>
    </row>
    <row r="47" ht="24" customHeight="1">
      <c r="A47" s="10">
        <f>IF('New students'!A20="","","Period "&amp;'New students'!B20&amp;"   ·   Student number "&amp;'New students'!C20)</f>
        <v/>
      </c>
      <c r="E47" s="10">
        <f>IF('New students'!A21="","","Period "&amp;'New students'!B21&amp;"   ·   Student number "&amp;'New students'!C21)</f>
        <v/>
      </c>
    </row>
    <row r="48" ht="18" customHeight="1">
      <c r="A48" s="11">
        <f>IF('New students'!A20="","","Open: "&amp;Settings!$B$1)</f>
        <v/>
      </c>
      <c r="E48" s="11">
        <f>IF('New students'!A21="","","Open: "&amp;Settings!$B$1)</f>
        <v/>
      </c>
    </row>
    <row r="49" ht="30" customHeight="1">
      <c r="A49" s="11">
        <f>IF('New students'!A20="","","Tap Sign in, type your period and number, then sign in with your school Google account.")</f>
        <v/>
      </c>
      <c r="E49" s="11">
        <f>IF('New students'!A21="","","Tap Sign in, type your period and number, then sign in with your school Google account.")</f>
        <v/>
      </c>
    </row>
    <row r="50" ht="10" customHeight="1">
      <c r="A50" s="12" t="n"/>
      <c r="B50" s="14" t="n"/>
      <c r="C50" s="14" t="n"/>
      <c r="E50" s="12" t="n"/>
      <c r="F50" s="14" t="n"/>
      <c r="G50" s="14" t="n"/>
    </row>
    <row r="51" ht="24" customHeight="1">
      <c r="A51" s="9">
        <f>IF('New students'!A22="","",'New students'!A22)</f>
        <v/>
      </c>
      <c r="E51" s="9">
        <f>IF('New students'!A23="","",'New students'!A23)</f>
        <v/>
      </c>
    </row>
    <row r="52" ht="24" customHeight="1">
      <c r="A52" s="10">
        <f>IF('New students'!A22="","","Period "&amp;'New students'!B22&amp;"   ·   Student number "&amp;'New students'!C22)</f>
        <v/>
      </c>
      <c r="E52" s="10">
        <f>IF('New students'!A23="","","Period "&amp;'New students'!B23&amp;"   ·   Student number "&amp;'New students'!C23)</f>
        <v/>
      </c>
    </row>
    <row r="53" ht="18" customHeight="1">
      <c r="A53" s="11">
        <f>IF('New students'!A22="","","Open: "&amp;Settings!$B$1)</f>
        <v/>
      </c>
      <c r="E53" s="11">
        <f>IF('New students'!A23="","","Open: "&amp;Settings!$B$1)</f>
        <v/>
      </c>
    </row>
    <row r="54" ht="30" customHeight="1">
      <c r="A54" s="11">
        <f>IF('New students'!A22="","","Tap Sign in, type your period and number, then sign in with your school Google account.")</f>
        <v/>
      </c>
      <c r="E54" s="11">
        <f>IF('New students'!A23="","","Tap Sign in, type your period and number, then sign in with your school Google account.")</f>
        <v/>
      </c>
    </row>
    <row r="55" ht="10" customHeight="1">
      <c r="A55" s="12" t="n"/>
      <c r="B55" s="14" t="n"/>
      <c r="C55" s="14" t="n"/>
      <c r="E55" s="12" t="n"/>
      <c r="F55" s="14" t="n"/>
      <c r="G55" s="14" t="n"/>
    </row>
    <row r="56" ht="24" customHeight="1">
      <c r="A56" s="9">
        <f>IF('New students'!A24="","",'New students'!A24)</f>
        <v/>
      </c>
      <c r="E56" s="9">
        <f>IF('New students'!A25="","",'New students'!A25)</f>
        <v/>
      </c>
    </row>
    <row r="57" ht="24" customHeight="1">
      <c r="A57" s="10">
        <f>IF('New students'!A24="","","Period "&amp;'New students'!B24&amp;"   ·   Student number "&amp;'New students'!C24)</f>
        <v/>
      </c>
      <c r="E57" s="10">
        <f>IF('New students'!A25="","","Period "&amp;'New students'!B25&amp;"   ·   Student number "&amp;'New students'!C25)</f>
        <v/>
      </c>
    </row>
    <row r="58" ht="18" customHeight="1">
      <c r="A58" s="11">
        <f>IF('New students'!A24="","","Open: "&amp;Settings!$B$1)</f>
        <v/>
      </c>
      <c r="E58" s="11">
        <f>IF('New students'!A25="","","Open: "&amp;Settings!$B$1)</f>
        <v/>
      </c>
    </row>
    <row r="59" ht="30" customHeight="1">
      <c r="A59" s="11">
        <f>IF('New students'!A24="","","Tap Sign in, type your period and number, then sign in with your school Google account.")</f>
        <v/>
      </c>
      <c r="E59" s="11">
        <f>IF('New students'!A25="","","Tap Sign in, type your period and number, then sign in with your school Google account.")</f>
        <v/>
      </c>
    </row>
    <row r="60" ht="10" customHeight="1">
      <c r="A60" s="12" t="n"/>
      <c r="B60" s="14" t="n"/>
      <c r="C60" s="14" t="n"/>
      <c r="E60" s="12" t="n"/>
      <c r="F60" s="14" t="n"/>
      <c r="G60" s="14" t="n"/>
    </row>
    <row r="61" ht="24" customHeight="1">
      <c r="A61" s="9">
        <f>IF('New students'!A26="","",'New students'!A26)</f>
        <v/>
      </c>
      <c r="E61" s="9">
        <f>IF('New students'!A27="","",'New students'!A27)</f>
        <v/>
      </c>
    </row>
    <row r="62" ht="24" customHeight="1">
      <c r="A62" s="10">
        <f>IF('New students'!A26="","","Period "&amp;'New students'!B26&amp;"   ·   Student number "&amp;'New students'!C26)</f>
        <v/>
      </c>
      <c r="E62" s="10">
        <f>IF('New students'!A27="","","Period "&amp;'New students'!B27&amp;"   ·   Student number "&amp;'New students'!C27)</f>
        <v/>
      </c>
    </row>
    <row r="63" ht="18" customHeight="1">
      <c r="A63" s="11">
        <f>IF('New students'!A26="","","Open: "&amp;Settings!$B$1)</f>
        <v/>
      </c>
      <c r="E63" s="11">
        <f>IF('New students'!A27="","","Open: "&amp;Settings!$B$1)</f>
        <v/>
      </c>
    </row>
    <row r="64" ht="30" customHeight="1">
      <c r="A64" s="11">
        <f>IF('New students'!A26="","","Tap Sign in, type your period and number, then sign in with your school Google account.")</f>
        <v/>
      </c>
      <c r="E64" s="11">
        <f>IF('New students'!A27="","","Tap Sign in, type your period and number, then sign in with your school Google account.")</f>
        <v/>
      </c>
    </row>
    <row r="65" ht="10" customHeight="1">
      <c r="A65" s="12" t="n"/>
      <c r="B65" s="14" t="n"/>
      <c r="C65" s="14" t="n"/>
      <c r="E65" s="12" t="n"/>
      <c r="F65" s="14" t="n"/>
      <c r="G65" s="14" t="n"/>
    </row>
    <row r="66" ht="24" customHeight="1">
      <c r="A66" s="9">
        <f>IF('New students'!A28="","",'New students'!A28)</f>
        <v/>
      </c>
      <c r="E66" s="9">
        <f>IF('New students'!A29="","",'New students'!A29)</f>
        <v/>
      </c>
    </row>
    <row r="67" ht="24" customHeight="1">
      <c r="A67" s="10">
        <f>IF('New students'!A28="","","Period "&amp;'New students'!B28&amp;"   ·   Student number "&amp;'New students'!C28)</f>
        <v/>
      </c>
      <c r="E67" s="10">
        <f>IF('New students'!A29="","","Period "&amp;'New students'!B29&amp;"   ·   Student number "&amp;'New students'!C29)</f>
        <v/>
      </c>
    </row>
    <row r="68" ht="18" customHeight="1">
      <c r="A68" s="11">
        <f>IF('New students'!A28="","","Open: "&amp;Settings!$B$1)</f>
        <v/>
      </c>
      <c r="E68" s="11">
        <f>IF('New students'!A29="","","Open: "&amp;Settings!$B$1)</f>
        <v/>
      </c>
    </row>
    <row r="69" ht="30" customHeight="1">
      <c r="A69" s="11">
        <f>IF('New students'!A28="","","Tap Sign in, type your period and number, then sign in with your school Google account.")</f>
        <v/>
      </c>
      <c r="E69" s="11">
        <f>IF('New students'!A29="","","Tap Sign in, type your period and number, then sign in with your school Google account.")</f>
        <v/>
      </c>
    </row>
    <row r="70" ht="10" customHeight="1">
      <c r="A70" s="12" t="n"/>
      <c r="B70" s="14" t="n"/>
      <c r="C70" s="14" t="n"/>
      <c r="E70" s="12" t="n"/>
      <c r="F70" s="14" t="n"/>
      <c r="G70" s="14" t="n"/>
    </row>
    <row r="71" ht="24" customHeight="1">
      <c r="A71" s="9">
        <f>IF('New students'!A30="","",'New students'!A30)</f>
        <v/>
      </c>
      <c r="E71" s="9">
        <f>IF('New students'!A31="","",'New students'!A31)</f>
        <v/>
      </c>
    </row>
    <row r="72" ht="24" customHeight="1">
      <c r="A72" s="10">
        <f>IF('New students'!A30="","","Period "&amp;'New students'!B30&amp;"   ·   Student number "&amp;'New students'!C30)</f>
        <v/>
      </c>
      <c r="E72" s="10">
        <f>IF('New students'!A31="","","Period "&amp;'New students'!B31&amp;"   ·   Student number "&amp;'New students'!C31)</f>
        <v/>
      </c>
    </row>
    <row r="73" ht="18" customHeight="1">
      <c r="A73" s="11">
        <f>IF('New students'!A30="","","Open: "&amp;Settings!$B$1)</f>
        <v/>
      </c>
      <c r="E73" s="11">
        <f>IF('New students'!A31="","","Open: "&amp;Settings!$B$1)</f>
        <v/>
      </c>
    </row>
    <row r="74" ht="30" customHeight="1">
      <c r="A74" s="11">
        <f>IF('New students'!A30="","","Tap Sign in, type your period and number, then sign in with your school Google account.")</f>
        <v/>
      </c>
      <c r="E74" s="11">
        <f>IF('New students'!A31="","","Tap Sign in, type your period and number, then sign in with your school Google account.")</f>
        <v/>
      </c>
    </row>
    <row r="75" ht="10" customHeight="1">
      <c r="A75" s="12" t="n"/>
      <c r="B75" s="14" t="n"/>
      <c r="C75" s="14" t="n"/>
      <c r="E75" s="12" t="n"/>
      <c r="F75" s="14" t="n"/>
      <c r="G75" s="14" t="n"/>
    </row>
    <row r="76" ht="24" customHeight="1">
      <c r="A76" s="9">
        <f>IF('New students'!A32="","",'New students'!A32)</f>
        <v/>
      </c>
      <c r="E76" s="9">
        <f>IF('New students'!A33="","",'New students'!A33)</f>
        <v/>
      </c>
    </row>
    <row r="77" ht="24" customHeight="1">
      <c r="A77" s="10">
        <f>IF('New students'!A32="","","Period "&amp;'New students'!B32&amp;"   ·   Student number "&amp;'New students'!C32)</f>
        <v/>
      </c>
      <c r="E77" s="10">
        <f>IF('New students'!A33="","","Period "&amp;'New students'!B33&amp;"   ·   Student number "&amp;'New students'!C33)</f>
        <v/>
      </c>
    </row>
    <row r="78" ht="18" customHeight="1">
      <c r="A78" s="11">
        <f>IF('New students'!A32="","","Open: "&amp;Settings!$B$1)</f>
        <v/>
      </c>
      <c r="E78" s="11">
        <f>IF('New students'!A33="","","Open: "&amp;Settings!$B$1)</f>
        <v/>
      </c>
    </row>
    <row r="79" ht="30" customHeight="1">
      <c r="A79" s="11">
        <f>IF('New students'!A32="","","Tap Sign in, type your period and number, then sign in with your school Google account.")</f>
        <v/>
      </c>
      <c r="E79" s="11">
        <f>IF('New students'!A33="","","Tap Sign in, type your period and number, then sign in with your school Google account.")</f>
        <v/>
      </c>
    </row>
    <row r="80" ht="10" customHeight="1">
      <c r="A80" s="12" t="n"/>
      <c r="B80" s="14" t="n"/>
      <c r="C80" s="14" t="n"/>
      <c r="E80" s="12" t="n"/>
      <c r="F80" s="14" t="n"/>
      <c r="G80" s="14" t="n"/>
    </row>
    <row r="81" ht="24" customHeight="1">
      <c r="A81" s="9">
        <f>IF('New students'!A34="","",'New students'!A34)</f>
        <v/>
      </c>
      <c r="E81" s="9">
        <f>IF('New students'!A35="","",'New students'!A35)</f>
        <v/>
      </c>
    </row>
    <row r="82" ht="24" customHeight="1">
      <c r="A82" s="10">
        <f>IF('New students'!A34="","","Period "&amp;'New students'!B34&amp;"   ·   Student number "&amp;'New students'!C34)</f>
        <v/>
      </c>
      <c r="E82" s="10">
        <f>IF('New students'!A35="","","Period "&amp;'New students'!B35&amp;"   ·   Student number "&amp;'New students'!C35)</f>
        <v/>
      </c>
    </row>
    <row r="83" ht="18" customHeight="1">
      <c r="A83" s="11">
        <f>IF('New students'!A34="","","Open: "&amp;Settings!$B$1)</f>
        <v/>
      </c>
      <c r="E83" s="11">
        <f>IF('New students'!A35="","","Open: "&amp;Settings!$B$1)</f>
        <v/>
      </c>
    </row>
    <row r="84" ht="30" customHeight="1">
      <c r="A84" s="11">
        <f>IF('New students'!A34="","","Tap Sign in, type your period and number, then sign in with your school Google account.")</f>
        <v/>
      </c>
      <c r="E84" s="11">
        <f>IF('New students'!A35="","","Tap Sign in, type your period and number, then sign in with your school Google account.")</f>
        <v/>
      </c>
    </row>
    <row r="85" ht="10" customHeight="1">
      <c r="A85" s="12" t="n"/>
      <c r="B85" s="14" t="n"/>
      <c r="C85" s="14" t="n"/>
      <c r="E85" s="12" t="n"/>
      <c r="F85" s="14" t="n"/>
      <c r="G85" s="14" t="n"/>
    </row>
    <row r="86" ht="24" customHeight="1">
      <c r="A86" s="9">
        <f>IF('New students'!A36="","",'New students'!A36)</f>
        <v/>
      </c>
      <c r="E86" s="9">
        <f>IF('New students'!A37="","",'New students'!A37)</f>
        <v/>
      </c>
    </row>
    <row r="87" ht="24" customHeight="1">
      <c r="A87" s="10">
        <f>IF('New students'!A36="","","Period "&amp;'New students'!B36&amp;"   ·   Student number "&amp;'New students'!C36)</f>
        <v/>
      </c>
      <c r="E87" s="10">
        <f>IF('New students'!A37="","","Period "&amp;'New students'!B37&amp;"   ·   Student number "&amp;'New students'!C37)</f>
        <v/>
      </c>
    </row>
    <row r="88" ht="18" customHeight="1">
      <c r="A88" s="11">
        <f>IF('New students'!A36="","","Open: "&amp;Settings!$B$1)</f>
        <v/>
      </c>
      <c r="E88" s="11">
        <f>IF('New students'!A37="","","Open: "&amp;Settings!$B$1)</f>
        <v/>
      </c>
    </row>
    <row r="89" ht="30" customHeight="1">
      <c r="A89" s="11">
        <f>IF('New students'!A36="","","Tap Sign in, type your period and number, then sign in with your school Google account.")</f>
        <v/>
      </c>
      <c r="E89" s="11">
        <f>IF('New students'!A37="","","Tap Sign in, type your period and number, then sign in with your school Google account.")</f>
        <v/>
      </c>
    </row>
    <row r="90" ht="10" customHeight="1">
      <c r="A90" s="12" t="n"/>
      <c r="B90" s="14" t="n"/>
      <c r="C90" s="14" t="n"/>
      <c r="E90" s="12" t="n"/>
      <c r="F90" s="14" t="n"/>
      <c r="G90" s="14" t="n"/>
    </row>
    <row r="91" ht="24" customHeight="1">
      <c r="A91" s="9">
        <f>IF('New students'!A38="","",'New students'!A38)</f>
        <v/>
      </c>
      <c r="E91" s="9">
        <f>IF('New students'!A39="","",'New students'!A39)</f>
        <v/>
      </c>
    </row>
    <row r="92" ht="24" customHeight="1">
      <c r="A92" s="10">
        <f>IF('New students'!A38="","","Period "&amp;'New students'!B38&amp;"   ·   Student number "&amp;'New students'!C38)</f>
        <v/>
      </c>
      <c r="E92" s="10">
        <f>IF('New students'!A39="","","Period "&amp;'New students'!B39&amp;"   ·   Student number "&amp;'New students'!C39)</f>
        <v/>
      </c>
    </row>
    <row r="93" ht="18" customHeight="1">
      <c r="A93" s="11">
        <f>IF('New students'!A38="","","Open: "&amp;Settings!$B$1)</f>
        <v/>
      </c>
      <c r="E93" s="11">
        <f>IF('New students'!A39="","","Open: "&amp;Settings!$B$1)</f>
        <v/>
      </c>
    </row>
    <row r="94" ht="30" customHeight="1">
      <c r="A94" s="11">
        <f>IF('New students'!A38="","","Tap Sign in, type your period and number, then sign in with your school Google account.")</f>
        <v/>
      </c>
      <c r="E94" s="11">
        <f>IF('New students'!A39="","","Tap Sign in, type your period and number, then sign in with your school Google account.")</f>
        <v/>
      </c>
    </row>
    <row r="95" ht="10" customHeight="1">
      <c r="A95" s="12" t="n"/>
      <c r="B95" s="14" t="n"/>
      <c r="C95" s="14" t="n"/>
      <c r="E95" s="12" t="n"/>
      <c r="F95" s="14" t="n"/>
      <c r="G95" s="14" t="n"/>
    </row>
    <row r="96" ht="24" customHeight="1">
      <c r="A96" s="9">
        <f>IF('New students'!A40="","",'New students'!A40)</f>
        <v/>
      </c>
      <c r="E96" s="9">
        <f>IF('New students'!A41="","",'New students'!A41)</f>
        <v/>
      </c>
    </row>
    <row r="97" ht="24" customHeight="1">
      <c r="A97" s="10">
        <f>IF('New students'!A40="","","Period "&amp;'New students'!B40&amp;"   ·   Student number "&amp;'New students'!C40)</f>
        <v/>
      </c>
      <c r="E97" s="10">
        <f>IF('New students'!A41="","","Period "&amp;'New students'!B41&amp;"   ·   Student number "&amp;'New students'!C41)</f>
        <v/>
      </c>
    </row>
    <row r="98" ht="18" customHeight="1">
      <c r="A98" s="11">
        <f>IF('New students'!A40="","","Open: "&amp;Settings!$B$1)</f>
        <v/>
      </c>
      <c r="E98" s="11">
        <f>IF('New students'!A41="","","Open: "&amp;Settings!$B$1)</f>
        <v/>
      </c>
    </row>
    <row r="99" ht="30" customHeight="1">
      <c r="A99" s="11">
        <f>IF('New students'!A40="","","Tap Sign in, type your period and number, then sign in with your school Google account.")</f>
        <v/>
      </c>
      <c r="E99" s="11">
        <f>IF('New students'!A41="","","Tap Sign in, type your period and number, then sign in with your school Google account.")</f>
        <v/>
      </c>
    </row>
    <row r="100" ht="10" customHeight="1">
      <c r="A100" s="12" t="n"/>
      <c r="B100" s="14" t="n"/>
      <c r="C100" s="14" t="n"/>
      <c r="E100" s="12" t="n"/>
      <c r="F100" s="14" t="n"/>
      <c r="G100" s="14" t="n"/>
    </row>
    <row r="101" ht="24" customHeight="1">
      <c r="A101" s="9">
        <f>IF('New students'!A42="","",'New students'!A42)</f>
        <v/>
      </c>
      <c r="E101" s="9">
        <f>IF('New students'!A43="","",'New students'!A43)</f>
        <v/>
      </c>
    </row>
    <row r="102" ht="24" customHeight="1">
      <c r="A102" s="10">
        <f>IF('New students'!A42="","","Period "&amp;'New students'!B42&amp;"   ·   Student number "&amp;'New students'!C42)</f>
        <v/>
      </c>
      <c r="E102" s="10">
        <f>IF('New students'!A43="","","Period "&amp;'New students'!B43&amp;"   ·   Student number "&amp;'New students'!C43)</f>
        <v/>
      </c>
    </row>
    <row r="103" ht="18" customHeight="1">
      <c r="A103" s="11">
        <f>IF('New students'!A42="","","Open: "&amp;Settings!$B$1)</f>
        <v/>
      </c>
      <c r="E103" s="11">
        <f>IF('New students'!A43="","","Open: "&amp;Settings!$B$1)</f>
        <v/>
      </c>
    </row>
    <row r="104" ht="30" customHeight="1">
      <c r="A104" s="11">
        <f>IF('New students'!A42="","","Tap Sign in, type your period and number, then sign in with your school Google account.")</f>
        <v/>
      </c>
      <c r="E104" s="11">
        <f>IF('New students'!A43="","","Tap Sign in, type your period and number, then sign in with your school Google account.")</f>
        <v/>
      </c>
    </row>
    <row r="105" ht="10" customHeight="1">
      <c r="A105" s="12" t="n"/>
      <c r="B105" s="14" t="n"/>
      <c r="C105" s="14" t="n"/>
      <c r="E105" s="12" t="n"/>
      <c r="F105" s="14" t="n"/>
      <c r="G105" s="14" t="n"/>
    </row>
    <row r="106" ht="24" customHeight="1">
      <c r="A106" s="9">
        <f>IF('New students'!A44="","",'New students'!A44)</f>
        <v/>
      </c>
      <c r="E106" s="9">
        <f>IF('New students'!A45="","",'New students'!A45)</f>
        <v/>
      </c>
    </row>
    <row r="107" ht="24" customHeight="1">
      <c r="A107" s="10">
        <f>IF('New students'!A44="","","Period "&amp;'New students'!B44&amp;"   ·   Student number "&amp;'New students'!C44)</f>
        <v/>
      </c>
      <c r="E107" s="10">
        <f>IF('New students'!A45="","","Period "&amp;'New students'!B45&amp;"   ·   Student number "&amp;'New students'!C45)</f>
        <v/>
      </c>
    </row>
    <row r="108" ht="18" customHeight="1">
      <c r="A108" s="11">
        <f>IF('New students'!A44="","","Open: "&amp;Settings!$B$1)</f>
        <v/>
      </c>
      <c r="E108" s="11">
        <f>IF('New students'!A45="","","Open: "&amp;Settings!$B$1)</f>
        <v/>
      </c>
    </row>
    <row r="109" ht="30" customHeight="1">
      <c r="A109" s="11">
        <f>IF('New students'!A44="","","Tap Sign in, type your period and number, then sign in with your school Google account.")</f>
        <v/>
      </c>
      <c r="E109" s="11">
        <f>IF('New students'!A45="","","Tap Sign in, type your period and number, then sign in with your school Google account.")</f>
        <v/>
      </c>
    </row>
    <row r="110" ht="10" customHeight="1">
      <c r="A110" s="12" t="n"/>
      <c r="B110" s="14" t="n"/>
      <c r="C110" s="14" t="n"/>
      <c r="E110" s="12" t="n"/>
      <c r="F110" s="14" t="n"/>
      <c r="G110" s="14" t="n"/>
    </row>
    <row r="111" ht="24" customHeight="1">
      <c r="A111" s="9">
        <f>IF('New students'!A46="","",'New students'!A46)</f>
        <v/>
      </c>
      <c r="E111" s="9">
        <f>IF('New students'!A47="","",'New students'!A47)</f>
        <v/>
      </c>
    </row>
    <row r="112" ht="24" customHeight="1">
      <c r="A112" s="10">
        <f>IF('New students'!A46="","","Period "&amp;'New students'!B46&amp;"   ·   Student number "&amp;'New students'!C46)</f>
        <v/>
      </c>
      <c r="E112" s="10">
        <f>IF('New students'!A47="","","Period "&amp;'New students'!B47&amp;"   ·   Student number "&amp;'New students'!C47)</f>
        <v/>
      </c>
    </row>
    <row r="113" ht="18" customHeight="1">
      <c r="A113" s="11">
        <f>IF('New students'!A46="","","Open: "&amp;Settings!$B$1)</f>
        <v/>
      </c>
      <c r="E113" s="11">
        <f>IF('New students'!A47="","","Open: "&amp;Settings!$B$1)</f>
        <v/>
      </c>
    </row>
    <row r="114" ht="30" customHeight="1">
      <c r="A114" s="11">
        <f>IF('New students'!A46="","","Tap Sign in, type your period and number, then sign in with your school Google account.")</f>
        <v/>
      </c>
      <c r="E114" s="11">
        <f>IF('New students'!A47="","","Tap Sign in, type your period and number, then sign in with your school Google account.")</f>
        <v/>
      </c>
    </row>
    <row r="115" ht="10" customHeight="1">
      <c r="A115" s="12" t="n"/>
      <c r="B115" s="14" t="n"/>
      <c r="C115" s="14" t="n"/>
      <c r="E115" s="12" t="n"/>
      <c r="F115" s="14" t="n"/>
      <c r="G115" s="14" t="n"/>
    </row>
    <row r="116" ht="24" customHeight="1">
      <c r="A116" s="9">
        <f>IF('New students'!A48="","",'New students'!A48)</f>
        <v/>
      </c>
      <c r="E116" s="9">
        <f>IF('New students'!A49="","",'New students'!A49)</f>
        <v/>
      </c>
    </row>
    <row r="117" ht="24" customHeight="1">
      <c r="A117" s="10">
        <f>IF('New students'!A48="","","Period "&amp;'New students'!B48&amp;"   ·   Student number "&amp;'New students'!C48)</f>
        <v/>
      </c>
      <c r="E117" s="10">
        <f>IF('New students'!A49="","","Period "&amp;'New students'!B49&amp;"   ·   Student number "&amp;'New students'!C49)</f>
        <v/>
      </c>
    </row>
    <row r="118" ht="18" customHeight="1">
      <c r="A118" s="11">
        <f>IF('New students'!A48="","","Open: "&amp;Settings!$B$1)</f>
        <v/>
      </c>
      <c r="E118" s="11">
        <f>IF('New students'!A49="","","Open: "&amp;Settings!$B$1)</f>
        <v/>
      </c>
    </row>
    <row r="119" ht="30" customHeight="1">
      <c r="A119" s="11">
        <f>IF('New students'!A48="","","Tap Sign in, type your period and number, then sign in with your school Google account.")</f>
        <v/>
      </c>
      <c r="E119" s="11">
        <f>IF('New students'!A49="","","Tap Sign in, type your period and number, then sign in with your school Google account.")</f>
        <v/>
      </c>
    </row>
    <row r="120" ht="10" customHeight="1">
      <c r="A120" s="12" t="n"/>
      <c r="B120" s="14" t="n"/>
      <c r="C120" s="14" t="n"/>
      <c r="E120" s="12" t="n"/>
      <c r="F120" s="14" t="n"/>
      <c r="G120" s="14" t="n"/>
    </row>
    <row r="121" ht="24" customHeight="1">
      <c r="A121" s="9">
        <f>IF('New students'!A50="","",'New students'!A50)</f>
        <v/>
      </c>
      <c r="E121" s="9">
        <f>IF('New students'!A51="","",'New students'!A51)</f>
        <v/>
      </c>
    </row>
    <row r="122" ht="24" customHeight="1">
      <c r="A122" s="10">
        <f>IF('New students'!A50="","","Period "&amp;'New students'!B50&amp;"   ·   Student number "&amp;'New students'!C50)</f>
        <v/>
      </c>
      <c r="E122" s="10">
        <f>IF('New students'!A51="","","Period "&amp;'New students'!B51&amp;"   ·   Student number "&amp;'New students'!C51)</f>
        <v/>
      </c>
    </row>
    <row r="123" ht="18" customHeight="1">
      <c r="A123" s="11">
        <f>IF('New students'!A50="","","Open: "&amp;Settings!$B$1)</f>
        <v/>
      </c>
      <c r="E123" s="11">
        <f>IF('New students'!A51="","","Open: "&amp;Settings!$B$1)</f>
        <v/>
      </c>
    </row>
    <row r="124" ht="30" customHeight="1">
      <c r="A124" s="11">
        <f>IF('New students'!A50="","","Tap Sign in, type your period and number, then sign in with your school Google account.")</f>
        <v/>
      </c>
      <c r="E124" s="11">
        <f>IF('New students'!A51="","","Tap Sign in, type your period and number, then sign in with your school Google account.")</f>
        <v/>
      </c>
    </row>
    <row r="125" ht="10" customHeight="1">
      <c r="A125" s="12" t="n"/>
      <c r="B125" s="14" t="n"/>
      <c r="C125" s="14" t="n"/>
      <c r="E125" s="12" t="n"/>
      <c r="F125" s="14" t="n"/>
      <c r="G125" s="14" t="n"/>
    </row>
    <row r="126" ht="24" customHeight="1">
      <c r="A126" s="9">
        <f>IF('New students'!A52="","",'New students'!A52)</f>
        <v/>
      </c>
      <c r="E126" s="9">
        <f>IF('New students'!A53="","",'New students'!A53)</f>
        <v/>
      </c>
    </row>
    <row r="127" ht="24" customHeight="1">
      <c r="A127" s="10">
        <f>IF('New students'!A52="","","Period "&amp;'New students'!B52&amp;"   ·   Student number "&amp;'New students'!C52)</f>
        <v/>
      </c>
      <c r="E127" s="10">
        <f>IF('New students'!A53="","","Period "&amp;'New students'!B53&amp;"   ·   Student number "&amp;'New students'!C53)</f>
        <v/>
      </c>
    </row>
    <row r="128" ht="18" customHeight="1">
      <c r="A128" s="11">
        <f>IF('New students'!A52="","","Open: "&amp;Settings!$B$1)</f>
        <v/>
      </c>
      <c r="E128" s="11">
        <f>IF('New students'!A53="","","Open: "&amp;Settings!$B$1)</f>
        <v/>
      </c>
    </row>
    <row r="129" ht="30" customHeight="1">
      <c r="A129" s="11">
        <f>IF('New students'!A52="","","Tap Sign in, type your period and number, then sign in with your school Google account.")</f>
        <v/>
      </c>
      <c r="E129" s="11">
        <f>IF('New students'!A53="","","Tap Sign in, type your period and number, then sign in with your school Google account.")</f>
        <v/>
      </c>
    </row>
    <row r="130" ht="10" customHeight="1">
      <c r="A130" s="12" t="n"/>
      <c r="B130" s="14" t="n"/>
      <c r="C130" s="14" t="n"/>
      <c r="E130" s="12" t="n"/>
      <c r="F130" s="14" t="n"/>
      <c r="G130" s="14" t="n"/>
    </row>
    <row r="131" ht="24" customHeight="1">
      <c r="A131" s="9">
        <f>IF('New students'!A54="","",'New students'!A54)</f>
        <v/>
      </c>
      <c r="E131" s="9">
        <f>IF('New students'!A55="","",'New students'!A55)</f>
        <v/>
      </c>
    </row>
    <row r="132" ht="24" customHeight="1">
      <c r="A132" s="10">
        <f>IF('New students'!A54="","","Period "&amp;'New students'!B54&amp;"   ·   Student number "&amp;'New students'!C54)</f>
        <v/>
      </c>
      <c r="E132" s="10">
        <f>IF('New students'!A55="","","Period "&amp;'New students'!B55&amp;"   ·   Student number "&amp;'New students'!C55)</f>
        <v/>
      </c>
    </row>
    <row r="133" ht="18" customHeight="1">
      <c r="A133" s="11">
        <f>IF('New students'!A54="","","Open: "&amp;Settings!$B$1)</f>
        <v/>
      </c>
      <c r="E133" s="11">
        <f>IF('New students'!A55="","","Open: "&amp;Settings!$B$1)</f>
        <v/>
      </c>
    </row>
    <row r="134" ht="30" customHeight="1">
      <c r="A134" s="11">
        <f>IF('New students'!A54="","","Tap Sign in, type your period and number, then sign in with your school Google account.")</f>
        <v/>
      </c>
      <c r="E134" s="11">
        <f>IF('New students'!A55="","","Tap Sign in, type your period and number, then sign in with your school Google account.")</f>
        <v/>
      </c>
    </row>
    <row r="135" ht="10" customHeight="1">
      <c r="A135" s="12" t="n"/>
      <c r="B135" s="14" t="n"/>
      <c r="C135" s="14" t="n"/>
      <c r="E135" s="12" t="n"/>
      <c r="F135" s="14" t="n"/>
      <c r="G135" s="14" t="n"/>
    </row>
    <row r="136" ht="24" customHeight="1">
      <c r="A136" s="9">
        <f>IF('New students'!A56="","",'New students'!A56)</f>
        <v/>
      </c>
      <c r="E136" s="9">
        <f>IF('New students'!A57="","",'New students'!A57)</f>
        <v/>
      </c>
    </row>
    <row r="137" ht="24" customHeight="1">
      <c r="A137" s="10">
        <f>IF('New students'!A56="","","Period "&amp;'New students'!B56&amp;"   ·   Student number "&amp;'New students'!C56)</f>
        <v/>
      </c>
      <c r="E137" s="10">
        <f>IF('New students'!A57="","","Period "&amp;'New students'!B57&amp;"   ·   Student number "&amp;'New students'!C57)</f>
        <v/>
      </c>
    </row>
    <row r="138" ht="18" customHeight="1">
      <c r="A138" s="11">
        <f>IF('New students'!A56="","","Open: "&amp;Settings!$B$1)</f>
        <v/>
      </c>
      <c r="E138" s="11">
        <f>IF('New students'!A57="","","Open: "&amp;Settings!$B$1)</f>
        <v/>
      </c>
    </row>
    <row r="139" ht="30" customHeight="1">
      <c r="A139" s="11">
        <f>IF('New students'!A56="","","Tap Sign in, type your period and number, then sign in with your school Google account.")</f>
        <v/>
      </c>
      <c r="E139" s="11">
        <f>IF('New students'!A57="","","Tap Sign in, type your period and number, then sign in with your school Google account.")</f>
        <v/>
      </c>
    </row>
    <row r="140" ht="10" customHeight="1">
      <c r="A140" s="12" t="n"/>
      <c r="B140" s="14" t="n"/>
      <c r="C140" s="14" t="n"/>
      <c r="E140" s="12" t="n"/>
      <c r="F140" s="14" t="n"/>
      <c r="G140" s="14" t="n"/>
    </row>
    <row r="141" ht="24" customHeight="1">
      <c r="A141" s="9">
        <f>IF('New students'!A58="","",'New students'!A58)</f>
        <v/>
      </c>
      <c r="E141" s="9">
        <f>IF('New students'!A59="","",'New students'!A59)</f>
        <v/>
      </c>
    </row>
    <row r="142" ht="24" customHeight="1">
      <c r="A142" s="10">
        <f>IF('New students'!A58="","","Period "&amp;'New students'!B58&amp;"   ·   Student number "&amp;'New students'!C58)</f>
        <v/>
      </c>
      <c r="E142" s="10">
        <f>IF('New students'!A59="","","Period "&amp;'New students'!B59&amp;"   ·   Student number "&amp;'New students'!C59)</f>
        <v/>
      </c>
    </row>
    <row r="143" ht="18" customHeight="1">
      <c r="A143" s="11">
        <f>IF('New students'!A58="","","Open: "&amp;Settings!$B$1)</f>
        <v/>
      </c>
      <c r="E143" s="11">
        <f>IF('New students'!A59="","","Open: "&amp;Settings!$B$1)</f>
        <v/>
      </c>
    </row>
    <row r="144" ht="30" customHeight="1">
      <c r="A144" s="11">
        <f>IF('New students'!A58="","","Tap Sign in, type your period and number, then sign in with your school Google account.")</f>
        <v/>
      </c>
      <c r="E144" s="11">
        <f>IF('New students'!A59="","","Tap Sign in, type your period and number, then sign in with your school Google account.")</f>
        <v/>
      </c>
    </row>
    <row r="145" ht="10" customHeight="1">
      <c r="A145" s="12" t="n"/>
      <c r="B145" s="14" t="n"/>
      <c r="C145" s="14" t="n"/>
      <c r="E145" s="12" t="n"/>
      <c r="F145" s="14" t="n"/>
      <c r="G145" s="14" t="n"/>
    </row>
    <row r="146" ht="24" customHeight="1">
      <c r="A146" s="9">
        <f>IF('New students'!A60="","",'New students'!A60)</f>
        <v/>
      </c>
      <c r="E146" s="9">
        <f>IF('New students'!A61="","",'New students'!A61)</f>
        <v/>
      </c>
    </row>
    <row r="147" ht="24" customHeight="1">
      <c r="A147" s="10">
        <f>IF('New students'!A60="","","Period "&amp;'New students'!B60&amp;"   ·   Student number "&amp;'New students'!C60)</f>
        <v/>
      </c>
      <c r="E147" s="10">
        <f>IF('New students'!A61="","","Period "&amp;'New students'!B61&amp;"   ·   Student number "&amp;'New students'!C61)</f>
        <v/>
      </c>
    </row>
    <row r="148" ht="18" customHeight="1">
      <c r="A148" s="11">
        <f>IF('New students'!A60="","","Open: "&amp;Settings!$B$1)</f>
        <v/>
      </c>
      <c r="E148" s="11">
        <f>IF('New students'!A61="","","Open: "&amp;Settings!$B$1)</f>
        <v/>
      </c>
    </row>
    <row r="149" ht="30" customHeight="1">
      <c r="A149" s="11">
        <f>IF('New students'!A60="","","Tap Sign in, type your period and number, then sign in with your school Google account.")</f>
        <v/>
      </c>
      <c r="E149" s="11">
        <f>IF('New students'!A61="","","Tap Sign in, type your period and number, then sign in with your school Google account.")</f>
        <v/>
      </c>
    </row>
    <row r="150" ht="10" customHeight="1">
      <c r="A150" s="12" t="n"/>
      <c r="B150" s="14" t="n"/>
      <c r="C150" s="14" t="n"/>
      <c r="E150" s="12" t="n"/>
      <c r="F150" s="14" t="n"/>
      <c r="G150" s="14" t="n"/>
    </row>
    <row r="151" ht="24" customHeight="1">
      <c r="A151" s="9">
        <f>IF('New students'!A62="","",'New students'!A62)</f>
        <v/>
      </c>
      <c r="E151" s="9">
        <f>IF('New students'!A63="","",'New students'!A63)</f>
        <v/>
      </c>
    </row>
    <row r="152" ht="24" customHeight="1">
      <c r="A152" s="10">
        <f>IF('New students'!A62="","","Period "&amp;'New students'!B62&amp;"   ·   Student number "&amp;'New students'!C62)</f>
        <v/>
      </c>
      <c r="E152" s="10">
        <f>IF('New students'!A63="","","Period "&amp;'New students'!B63&amp;"   ·   Student number "&amp;'New students'!C63)</f>
        <v/>
      </c>
    </row>
    <row r="153" ht="18" customHeight="1">
      <c r="A153" s="11">
        <f>IF('New students'!A62="","","Open: "&amp;Settings!$B$1)</f>
        <v/>
      </c>
      <c r="E153" s="11">
        <f>IF('New students'!A63="","","Open: "&amp;Settings!$B$1)</f>
        <v/>
      </c>
    </row>
    <row r="154" ht="30" customHeight="1">
      <c r="A154" s="11">
        <f>IF('New students'!A62="","","Tap Sign in, type your period and number, then sign in with your school Google account.")</f>
        <v/>
      </c>
      <c r="E154" s="11">
        <f>IF('New students'!A63="","","Tap Sign in, type your period and number, then sign in with your school Google account.")</f>
        <v/>
      </c>
    </row>
    <row r="155" ht="10" customHeight="1">
      <c r="A155" s="12" t="n"/>
      <c r="B155" s="14" t="n"/>
      <c r="C155" s="14" t="n"/>
      <c r="E155" s="12" t="n"/>
      <c r="F155" s="14" t="n"/>
      <c r="G155" s="14" t="n"/>
    </row>
    <row r="156" ht="24" customHeight="1">
      <c r="A156" s="9">
        <f>IF('New students'!A64="","",'New students'!A64)</f>
        <v/>
      </c>
      <c r="E156" s="9">
        <f>IF('New students'!A65="","",'New students'!A65)</f>
        <v/>
      </c>
    </row>
    <row r="157" ht="24" customHeight="1">
      <c r="A157" s="10">
        <f>IF('New students'!A64="","","Period "&amp;'New students'!B64&amp;"   ·   Student number "&amp;'New students'!C64)</f>
        <v/>
      </c>
      <c r="E157" s="10">
        <f>IF('New students'!A65="","","Period "&amp;'New students'!B65&amp;"   ·   Student number "&amp;'New students'!C65)</f>
        <v/>
      </c>
    </row>
    <row r="158" ht="18" customHeight="1">
      <c r="A158" s="11">
        <f>IF('New students'!A64="","","Open: "&amp;Settings!$B$1)</f>
        <v/>
      </c>
      <c r="E158" s="11">
        <f>IF('New students'!A65="","","Open: "&amp;Settings!$B$1)</f>
        <v/>
      </c>
    </row>
    <row r="159" ht="30" customHeight="1">
      <c r="A159" s="11">
        <f>IF('New students'!A64="","","Tap Sign in, type your period and number, then sign in with your school Google account.")</f>
        <v/>
      </c>
      <c r="E159" s="11">
        <f>IF('New students'!A65="","","Tap Sign in, type your period and number, then sign in with your school Google account.")</f>
        <v/>
      </c>
    </row>
    <row r="160" ht="10" customHeight="1">
      <c r="A160" s="12" t="n"/>
      <c r="B160" s="14" t="n"/>
      <c r="C160" s="14" t="n"/>
      <c r="E160" s="12" t="n"/>
      <c r="F160" s="14" t="n"/>
      <c r="G160" s="14" t="n"/>
    </row>
    <row r="161" ht="24" customHeight="1">
      <c r="A161" s="9">
        <f>IF('New students'!A66="","",'New students'!A66)</f>
        <v/>
      </c>
      <c r="E161" s="9">
        <f>IF('New students'!A67="","",'New students'!A67)</f>
        <v/>
      </c>
    </row>
    <row r="162" ht="24" customHeight="1">
      <c r="A162" s="10">
        <f>IF('New students'!A66="","","Period "&amp;'New students'!B66&amp;"   ·   Student number "&amp;'New students'!C66)</f>
        <v/>
      </c>
      <c r="E162" s="10">
        <f>IF('New students'!A67="","","Period "&amp;'New students'!B67&amp;"   ·   Student number "&amp;'New students'!C67)</f>
        <v/>
      </c>
    </row>
    <row r="163" ht="18" customHeight="1">
      <c r="A163" s="11">
        <f>IF('New students'!A66="","","Open: "&amp;Settings!$B$1)</f>
        <v/>
      </c>
      <c r="E163" s="11">
        <f>IF('New students'!A67="","","Open: "&amp;Settings!$B$1)</f>
        <v/>
      </c>
    </row>
    <row r="164" ht="30" customHeight="1">
      <c r="A164" s="11">
        <f>IF('New students'!A66="","","Tap Sign in, type your period and number, then sign in with your school Google account.")</f>
        <v/>
      </c>
      <c r="E164" s="11">
        <f>IF('New students'!A67="","","Tap Sign in, type your period and number, then sign in with your school Google account.")</f>
        <v/>
      </c>
    </row>
    <row r="165" ht="10" customHeight="1">
      <c r="A165" s="12" t="n"/>
      <c r="B165" s="14" t="n"/>
      <c r="C165" s="14" t="n"/>
      <c r="E165" s="12" t="n"/>
      <c r="F165" s="14" t="n"/>
      <c r="G165" s="14" t="n"/>
    </row>
    <row r="166" ht="24" customHeight="1">
      <c r="A166" s="9">
        <f>IF('New students'!A68="","",'New students'!A68)</f>
        <v/>
      </c>
      <c r="E166" s="9">
        <f>IF('New students'!A69="","",'New students'!A69)</f>
        <v/>
      </c>
    </row>
    <row r="167" ht="24" customHeight="1">
      <c r="A167" s="10">
        <f>IF('New students'!A68="","","Period "&amp;'New students'!B68&amp;"   ·   Student number "&amp;'New students'!C68)</f>
        <v/>
      </c>
      <c r="E167" s="10">
        <f>IF('New students'!A69="","","Period "&amp;'New students'!B69&amp;"   ·   Student number "&amp;'New students'!C69)</f>
        <v/>
      </c>
    </row>
    <row r="168" ht="18" customHeight="1">
      <c r="A168" s="11">
        <f>IF('New students'!A68="","","Open: "&amp;Settings!$B$1)</f>
        <v/>
      </c>
      <c r="E168" s="11">
        <f>IF('New students'!A69="","","Open: "&amp;Settings!$B$1)</f>
        <v/>
      </c>
    </row>
    <row r="169" ht="30" customHeight="1">
      <c r="A169" s="11">
        <f>IF('New students'!A68="","","Tap Sign in, type your period and number, then sign in with your school Google account.")</f>
        <v/>
      </c>
      <c r="E169" s="11">
        <f>IF('New students'!A69="","","Tap Sign in, type your period and number, then sign in with your school Google account.")</f>
        <v/>
      </c>
    </row>
    <row r="170" ht="10" customHeight="1">
      <c r="A170" s="12" t="n"/>
      <c r="B170" s="14" t="n"/>
      <c r="C170" s="14" t="n"/>
      <c r="E170" s="12" t="n"/>
      <c r="F170" s="14" t="n"/>
      <c r="G170" s="14" t="n"/>
    </row>
    <row r="171" ht="24" customHeight="1">
      <c r="A171" s="9">
        <f>IF('New students'!A70="","",'New students'!A70)</f>
        <v/>
      </c>
      <c r="E171" s="9">
        <f>IF('New students'!A71="","",'New students'!A71)</f>
        <v/>
      </c>
    </row>
    <row r="172" ht="24" customHeight="1">
      <c r="A172" s="10">
        <f>IF('New students'!A70="","","Period "&amp;'New students'!B70&amp;"   ·   Student number "&amp;'New students'!C70)</f>
        <v/>
      </c>
      <c r="E172" s="10">
        <f>IF('New students'!A71="","","Period "&amp;'New students'!B71&amp;"   ·   Student number "&amp;'New students'!C71)</f>
        <v/>
      </c>
    </row>
    <row r="173" ht="18" customHeight="1">
      <c r="A173" s="11">
        <f>IF('New students'!A70="","","Open: "&amp;Settings!$B$1)</f>
        <v/>
      </c>
      <c r="E173" s="11">
        <f>IF('New students'!A71="","","Open: "&amp;Settings!$B$1)</f>
        <v/>
      </c>
    </row>
    <row r="174" ht="30" customHeight="1">
      <c r="A174" s="11">
        <f>IF('New students'!A70="","","Tap Sign in, type your period and number, then sign in with your school Google account.")</f>
        <v/>
      </c>
      <c r="E174" s="11">
        <f>IF('New students'!A71="","","Tap Sign in, type your period and number, then sign in with your school Google account.")</f>
        <v/>
      </c>
    </row>
    <row r="175" ht="10" customHeight="1">
      <c r="A175" s="12" t="n"/>
      <c r="B175" s="14" t="n"/>
      <c r="C175" s="14" t="n"/>
      <c r="E175" s="12" t="n"/>
      <c r="F175" s="14" t="n"/>
      <c r="G175" s="14" t="n"/>
    </row>
    <row r="176" ht="24" customHeight="1">
      <c r="A176" s="9">
        <f>IF('New students'!A72="","",'New students'!A72)</f>
        <v/>
      </c>
      <c r="E176" s="9">
        <f>IF('New students'!A73="","",'New students'!A73)</f>
        <v/>
      </c>
    </row>
    <row r="177" ht="24" customHeight="1">
      <c r="A177" s="10">
        <f>IF('New students'!A72="","","Period "&amp;'New students'!B72&amp;"   ·   Student number "&amp;'New students'!C72)</f>
        <v/>
      </c>
      <c r="E177" s="10">
        <f>IF('New students'!A73="","","Period "&amp;'New students'!B73&amp;"   ·   Student number "&amp;'New students'!C73)</f>
        <v/>
      </c>
    </row>
    <row r="178" ht="18" customHeight="1">
      <c r="A178" s="11">
        <f>IF('New students'!A72="","","Open: "&amp;Settings!$B$1)</f>
        <v/>
      </c>
      <c r="E178" s="11">
        <f>IF('New students'!A73="","","Open: "&amp;Settings!$B$1)</f>
        <v/>
      </c>
    </row>
    <row r="179" ht="30" customHeight="1">
      <c r="A179" s="11">
        <f>IF('New students'!A72="","","Tap Sign in, type your period and number, then sign in with your school Google account.")</f>
        <v/>
      </c>
      <c r="E179" s="11">
        <f>IF('New students'!A73="","","Tap Sign in, type your period and number, then sign in with your school Google account.")</f>
        <v/>
      </c>
    </row>
    <row r="180" ht="10" customHeight="1">
      <c r="A180" s="12" t="n"/>
      <c r="B180" s="14" t="n"/>
      <c r="C180" s="14" t="n"/>
      <c r="E180" s="12" t="n"/>
      <c r="F180" s="14" t="n"/>
      <c r="G180" s="14" t="n"/>
    </row>
    <row r="181" ht="24" customHeight="1">
      <c r="A181" s="9">
        <f>IF('New students'!A74="","",'New students'!A74)</f>
        <v/>
      </c>
      <c r="E181" s="9">
        <f>IF('New students'!A75="","",'New students'!A75)</f>
        <v/>
      </c>
    </row>
    <row r="182" ht="24" customHeight="1">
      <c r="A182" s="10">
        <f>IF('New students'!A74="","","Period "&amp;'New students'!B74&amp;"   ·   Student number "&amp;'New students'!C74)</f>
        <v/>
      </c>
      <c r="E182" s="10">
        <f>IF('New students'!A75="","","Period "&amp;'New students'!B75&amp;"   ·   Student number "&amp;'New students'!C75)</f>
        <v/>
      </c>
    </row>
    <row r="183" ht="18" customHeight="1">
      <c r="A183" s="11">
        <f>IF('New students'!A74="","","Open: "&amp;Settings!$B$1)</f>
        <v/>
      </c>
      <c r="E183" s="11">
        <f>IF('New students'!A75="","","Open: "&amp;Settings!$B$1)</f>
        <v/>
      </c>
    </row>
    <row r="184" ht="30" customHeight="1">
      <c r="A184" s="11">
        <f>IF('New students'!A74="","","Tap Sign in, type your period and number, then sign in with your school Google account.")</f>
        <v/>
      </c>
      <c r="E184" s="11">
        <f>IF('New students'!A75="","","Tap Sign in, type your period and number, then sign in with your school Google account.")</f>
        <v/>
      </c>
    </row>
    <row r="185" ht="10" customHeight="1">
      <c r="A185" s="12" t="n"/>
      <c r="B185" s="14" t="n"/>
      <c r="C185" s="14" t="n"/>
      <c r="E185" s="12" t="n"/>
      <c r="F185" s="14" t="n"/>
      <c r="G185" s="14" t="n"/>
    </row>
    <row r="186" ht="24" customHeight="1">
      <c r="A186" s="9">
        <f>IF('New students'!A76="","",'New students'!A76)</f>
        <v/>
      </c>
      <c r="E186" s="9">
        <f>IF('New students'!A77="","",'New students'!A77)</f>
        <v/>
      </c>
    </row>
    <row r="187" ht="24" customHeight="1">
      <c r="A187" s="10">
        <f>IF('New students'!A76="","","Period "&amp;'New students'!B76&amp;"   ·   Student number "&amp;'New students'!C76)</f>
        <v/>
      </c>
      <c r="E187" s="10">
        <f>IF('New students'!A77="","","Period "&amp;'New students'!B77&amp;"   ·   Student number "&amp;'New students'!C77)</f>
        <v/>
      </c>
    </row>
    <row r="188" ht="18" customHeight="1">
      <c r="A188" s="11">
        <f>IF('New students'!A76="","","Open: "&amp;Settings!$B$1)</f>
        <v/>
      </c>
      <c r="E188" s="11">
        <f>IF('New students'!A77="","","Open: "&amp;Settings!$B$1)</f>
        <v/>
      </c>
    </row>
    <row r="189" ht="30" customHeight="1">
      <c r="A189" s="11">
        <f>IF('New students'!A76="","","Tap Sign in, type your period and number, then sign in with your school Google account.")</f>
        <v/>
      </c>
      <c r="E189" s="11">
        <f>IF('New students'!A77="","","Tap Sign in, type your period and number, then sign in with your school Google account.")</f>
        <v/>
      </c>
    </row>
    <row r="190" ht="10" customHeight="1">
      <c r="A190" s="12" t="n"/>
      <c r="B190" s="14" t="n"/>
      <c r="C190" s="14" t="n"/>
      <c r="E190" s="12" t="n"/>
      <c r="F190" s="14" t="n"/>
      <c r="G190" s="14" t="n"/>
    </row>
    <row r="191" ht="24" customHeight="1">
      <c r="A191" s="9">
        <f>IF('New students'!A78="","",'New students'!A78)</f>
        <v/>
      </c>
      <c r="E191" s="9">
        <f>IF('New students'!A79="","",'New students'!A79)</f>
        <v/>
      </c>
    </row>
    <row r="192" ht="24" customHeight="1">
      <c r="A192" s="10">
        <f>IF('New students'!A78="","","Period "&amp;'New students'!B78&amp;"   ·   Student number "&amp;'New students'!C78)</f>
        <v/>
      </c>
      <c r="E192" s="10">
        <f>IF('New students'!A79="","","Period "&amp;'New students'!B79&amp;"   ·   Student number "&amp;'New students'!C79)</f>
        <v/>
      </c>
    </row>
    <row r="193" ht="18" customHeight="1">
      <c r="A193" s="11">
        <f>IF('New students'!A78="","","Open: "&amp;Settings!$B$1)</f>
        <v/>
      </c>
      <c r="E193" s="11">
        <f>IF('New students'!A79="","","Open: "&amp;Settings!$B$1)</f>
        <v/>
      </c>
    </row>
    <row r="194" ht="30" customHeight="1">
      <c r="A194" s="11">
        <f>IF('New students'!A78="","","Tap Sign in, type your period and number, then sign in with your school Google account.")</f>
        <v/>
      </c>
      <c r="E194" s="11">
        <f>IF('New students'!A79="","","Tap Sign in, type your period and number, then sign in with your school Google account.")</f>
        <v/>
      </c>
    </row>
    <row r="195" ht="10" customHeight="1">
      <c r="A195" s="12" t="n"/>
      <c r="B195" s="14" t="n"/>
      <c r="C195" s="14" t="n"/>
      <c r="E195" s="12" t="n"/>
      <c r="F195" s="14" t="n"/>
      <c r="G195" s="14" t="n"/>
    </row>
    <row r="196" ht="24" customHeight="1">
      <c r="A196" s="9">
        <f>IF('New students'!A80="","",'New students'!A80)</f>
        <v/>
      </c>
      <c r="E196" s="9">
        <f>IF('New students'!A81="","",'New students'!A81)</f>
        <v/>
      </c>
    </row>
    <row r="197" ht="24" customHeight="1">
      <c r="A197" s="10">
        <f>IF('New students'!A80="","","Period "&amp;'New students'!B80&amp;"   ·   Student number "&amp;'New students'!C80)</f>
        <v/>
      </c>
      <c r="E197" s="10">
        <f>IF('New students'!A81="","","Period "&amp;'New students'!B81&amp;"   ·   Student number "&amp;'New students'!C81)</f>
        <v/>
      </c>
    </row>
    <row r="198" ht="18" customHeight="1">
      <c r="A198" s="11">
        <f>IF('New students'!A80="","","Open: "&amp;Settings!$B$1)</f>
        <v/>
      </c>
      <c r="E198" s="11">
        <f>IF('New students'!A81="","","Open: "&amp;Settings!$B$1)</f>
        <v/>
      </c>
    </row>
    <row r="199" ht="30" customHeight="1">
      <c r="A199" s="11">
        <f>IF('New students'!A80="","","Tap Sign in, type your period and number, then sign in with your school Google account.")</f>
        <v/>
      </c>
      <c r="E199" s="11">
        <f>IF('New students'!A81="","","Tap Sign in, type your period and number, then sign in with your school Google account.")</f>
        <v/>
      </c>
    </row>
    <row r="200" ht="10" customHeight="1">
      <c r="A200" s="12" t="n"/>
      <c r="B200" s="14" t="n"/>
      <c r="C200" s="14" t="n"/>
      <c r="E200" s="12" t="n"/>
      <c r="F200" s="14" t="n"/>
      <c r="G200" s="14" t="n"/>
    </row>
    <row r="201" ht="24" customHeight="1">
      <c r="A201" s="9">
        <f>IF('New students'!A82="","",'New students'!A82)</f>
        <v/>
      </c>
      <c r="E201" s="9">
        <f>IF('New students'!A83="","",'New students'!A83)</f>
        <v/>
      </c>
    </row>
    <row r="202" ht="24" customHeight="1">
      <c r="A202" s="10">
        <f>IF('New students'!A82="","","Period "&amp;'New students'!B82&amp;"   ·   Student number "&amp;'New students'!C82)</f>
        <v/>
      </c>
      <c r="E202" s="10">
        <f>IF('New students'!A83="","","Period "&amp;'New students'!B83&amp;"   ·   Student number "&amp;'New students'!C83)</f>
        <v/>
      </c>
    </row>
    <row r="203" ht="18" customHeight="1">
      <c r="A203" s="11">
        <f>IF('New students'!A82="","","Open: "&amp;Settings!$B$1)</f>
        <v/>
      </c>
      <c r="E203" s="11">
        <f>IF('New students'!A83="","","Open: "&amp;Settings!$B$1)</f>
        <v/>
      </c>
    </row>
    <row r="204" ht="30" customHeight="1">
      <c r="A204" s="11">
        <f>IF('New students'!A82="","","Tap Sign in, type your period and number, then sign in with your school Google account.")</f>
        <v/>
      </c>
      <c r="E204" s="11">
        <f>IF('New students'!A83="","","Tap Sign in, type your period and number, then sign in with your school Google account.")</f>
        <v/>
      </c>
    </row>
    <row r="205" ht="10" customHeight="1">
      <c r="A205" s="12" t="n"/>
      <c r="B205" s="14" t="n"/>
      <c r="C205" s="14" t="n"/>
      <c r="E205" s="12" t="n"/>
      <c r="F205" s="14" t="n"/>
      <c r="G205" s="14" t="n"/>
    </row>
    <row r="206" ht="24" customHeight="1">
      <c r="A206" s="9">
        <f>IF('New students'!A84="","",'New students'!A84)</f>
        <v/>
      </c>
      <c r="E206" s="9">
        <f>IF('New students'!A85="","",'New students'!A85)</f>
        <v/>
      </c>
    </row>
    <row r="207" ht="24" customHeight="1">
      <c r="A207" s="10">
        <f>IF('New students'!A84="","","Period "&amp;'New students'!B84&amp;"   ·   Student number "&amp;'New students'!C84)</f>
        <v/>
      </c>
      <c r="E207" s="10">
        <f>IF('New students'!A85="","","Period "&amp;'New students'!B85&amp;"   ·   Student number "&amp;'New students'!C85)</f>
        <v/>
      </c>
    </row>
    <row r="208" ht="18" customHeight="1">
      <c r="A208" s="11">
        <f>IF('New students'!A84="","","Open: "&amp;Settings!$B$1)</f>
        <v/>
      </c>
      <c r="E208" s="11">
        <f>IF('New students'!A85="","","Open: "&amp;Settings!$B$1)</f>
        <v/>
      </c>
    </row>
    <row r="209" ht="30" customHeight="1">
      <c r="A209" s="11">
        <f>IF('New students'!A84="","","Tap Sign in, type your period and number, then sign in with your school Google account.")</f>
        <v/>
      </c>
      <c r="E209" s="11">
        <f>IF('New students'!A85="","","Tap Sign in, type your period and number, then sign in with your school Google account.")</f>
        <v/>
      </c>
    </row>
    <row r="210" ht="10" customHeight="1">
      <c r="A210" s="12" t="n"/>
      <c r="B210" s="14" t="n"/>
      <c r="C210" s="14" t="n"/>
      <c r="E210" s="12" t="n"/>
      <c r="F210" s="14" t="n"/>
      <c r="G210" s="14" t="n"/>
    </row>
    <row r="211" ht="24" customHeight="1">
      <c r="A211" s="9">
        <f>IF('New students'!A86="","",'New students'!A86)</f>
        <v/>
      </c>
      <c r="E211" s="9">
        <f>IF('New students'!A87="","",'New students'!A87)</f>
        <v/>
      </c>
    </row>
    <row r="212" ht="24" customHeight="1">
      <c r="A212" s="10">
        <f>IF('New students'!A86="","","Period "&amp;'New students'!B86&amp;"   ·   Student number "&amp;'New students'!C86)</f>
        <v/>
      </c>
      <c r="E212" s="10">
        <f>IF('New students'!A87="","","Period "&amp;'New students'!B87&amp;"   ·   Student number "&amp;'New students'!C87)</f>
        <v/>
      </c>
    </row>
    <row r="213" ht="18" customHeight="1">
      <c r="A213" s="11">
        <f>IF('New students'!A86="","","Open: "&amp;Settings!$B$1)</f>
        <v/>
      </c>
      <c r="E213" s="11">
        <f>IF('New students'!A87="","","Open: "&amp;Settings!$B$1)</f>
        <v/>
      </c>
    </row>
    <row r="214" ht="30" customHeight="1">
      <c r="A214" s="11">
        <f>IF('New students'!A86="","","Tap Sign in, type your period and number, then sign in with your school Google account.")</f>
        <v/>
      </c>
      <c r="E214" s="11">
        <f>IF('New students'!A87="","","Tap Sign in, type your period and number, then sign in with your school Google account.")</f>
        <v/>
      </c>
    </row>
    <row r="215" ht="10" customHeight="1">
      <c r="A215" s="12" t="n"/>
      <c r="B215" s="14" t="n"/>
      <c r="C215" s="14" t="n"/>
      <c r="E215" s="12" t="n"/>
      <c r="F215" s="14" t="n"/>
      <c r="G215" s="14" t="n"/>
    </row>
    <row r="216" ht="24" customHeight="1">
      <c r="A216" s="9">
        <f>IF('New students'!A88="","",'New students'!A88)</f>
        <v/>
      </c>
      <c r="E216" s="9">
        <f>IF('New students'!A89="","",'New students'!A89)</f>
        <v/>
      </c>
    </row>
    <row r="217" ht="24" customHeight="1">
      <c r="A217" s="10">
        <f>IF('New students'!A88="","","Period "&amp;'New students'!B88&amp;"   ·   Student number "&amp;'New students'!C88)</f>
        <v/>
      </c>
      <c r="E217" s="10">
        <f>IF('New students'!A89="","","Period "&amp;'New students'!B89&amp;"   ·   Student number "&amp;'New students'!C89)</f>
        <v/>
      </c>
    </row>
    <row r="218" ht="18" customHeight="1">
      <c r="A218" s="11">
        <f>IF('New students'!A88="","","Open: "&amp;Settings!$B$1)</f>
        <v/>
      </c>
      <c r="E218" s="11">
        <f>IF('New students'!A89="","","Open: "&amp;Settings!$B$1)</f>
        <v/>
      </c>
    </row>
    <row r="219" ht="30" customHeight="1">
      <c r="A219" s="11">
        <f>IF('New students'!A88="","","Tap Sign in, type your period and number, then sign in with your school Google account.")</f>
        <v/>
      </c>
      <c r="E219" s="11">
        <f>IF('New students'!A89="","","Tap Sign in, type your period and number, then sign in with your school Google account.")</f>
        <v/>
      </c>
    </row>
    <row r="220" ht="10" customHeight="1">
      <c r="A220" s="12" t="n"/>
      <c r="B220" s="14" t="n"/>
      <c r="C220" s="14" t="n"/>
      <c r="E220" s="12" t="n"/>
      <c r="F220" s="14" t="n"/>
      <c r="G220" s="14" t="n"/>
    </row>
    <row r="221" ht="24" customHeight="1">
      <c r="A221" s="9">
        <f>IF('New students'!A90="","",'New students'!A90)</f>
        <v/>
      </c>
      <c r="E221" s="9">
        <f>IF('New students'!A91="","",'New students'!A91)</f>
        <v/>
      </c>
    </row>
    <row r="222" ht="24" customHeight="1">
      <c r="A222" s="10">
        <f>IF('New students'!A90="","","Period "&amp;'New students'!B90&amp;"   ·   Student number "&amp;'New students'!C90)</f>
        <v/>
      </c>
      <c r="E222" s="10">
        <f>IF('New students'!A91="","","Period "&amp;'New students'!B91&amp;"   ·   Student number "&amp;'New students'!C91)</f>
        <v/>
      </c>
    </row>
    <row r="223" ht="18" customHeight="1">
      <c r="A223" s="11">
        <f>IF('New students'!A90="","","Open: "&amp;Settings!$B$1)</f>
        <v/>
      </c>
      <c r="E223" s="11">
        <f>IF('New students'!A91="","","Open: "&amp;Settings!$B$1)</f>
        <v/>
      </c>
    </row>
    <row r="224" ht="30" customHeight="1">
      <c r="A224" s="11">
        <f>IF('New students'!A90="","","Tap Sign in, type your period and number, then sign in with your school Google account.")</f>
        <v/>
      </c>
      <c r="E224" s="11">
        <f>IF('New students'!A91="","","Tap Sign in, type your period and number, then sign in with your school Google account.")</f>
        <v/>
      </c>
    </row>
    <row r="225" ht="10" customHeight="1">
      <c r="A225" s="12" t="n"/>
      <c r="B225" s="14" t="n"/>
      <c r="C225" s="14" t="n"/>
      <c r="E225" s="12" t="n"/>
      <c r="F225" s="14" t="n"/>
      <c r="G225" s="14" t="n"/>
    </row>
    <row r="226" ht="24" customHeight="1">
      <c r="A226" s="9">
        <f>IF('New students'!A92="","",'New students'!A92)</f>
        <v/>
      </c>
      <c r="E226" s="9">
        <f>IF('New students'!A93="","",'New students'!A93)</f>
        <v/>
      </c>
    </row>
    <row r="227" ht="24" customHeight="1">
      <c r="A227" s="10">
        <f>IF('New students'!A92="","","Period "&amp;'New students'!B92&amp;"   ·   Student number "&amp;'New students'!C92)</f>
        <v/>
      </c>
      <c r="E227" s="10">
        <f>IF('New students'!A93="","","Period "&amp;'New students'!B93&amp;"   ·   Student number "&amp;'New students'!C93)</f>
        <v/>
      </c>
    </row>
    <row r="228" ht="18" customHeight="1">
      <c r="A228" s="11">
        <f>IF('New students'!A92="","","Open: "&amp;Settings!$B$1)</f>
        <v/>
      </c>
      <c r="E228" s="11">
        <f>IF('New students'!A93="","","Open: "&amp;Settings!$B$1)</f>
        <v/>
      </c>
    </row>
    <row r="229" ht="30" customHeight="1">
      <c r="A229" s="11">
        <f>IF('New students'!A92="","","Tap Sign in, type your period and number, then sign in with your school Google account.")</f>
        <v/>
      </c>
      <c r="E229" s="11">
        <f>IF('New students'!A93="","","Tap Sign in, type your period and number, then sign in with your school Google account.")</f>
        <v/>
      </c>
    </row>
    <row r="230" ht="10" customHeight="1">
      <c r="A230" s="12" t="n"/>
      <c r="B230" s="14" t="n"/>
      <c r="C230" s="14" t="n"/>
      <c r="E230" s="12" t="n"/>
      <c r="F230" s="14" t="n"/>
      <c r="G230" s="14" t="n"/>
    </row>
    <row r="231" ht="24" customHeight="1">
      <c r="A231" s="9">
        <f>IF('New students'!A94="","",'New students'!A94)</f>
        <v/>
      </c>
      <c r="E231" s="9">
        <f>IF('New students'!A95="","",'New students'!A95)</f>
        <v/>
      </c>
    </row>
    <row r="232" ht="24" customHeight="1">
      <c r="A232" s="10">
        <f>IF('New students'!A94="","","Period "&amp;'New students'!B94&amp;"   ·   Student number "&amp;'New students'!C94)</f>
        <v/>
      </c>
      <c r="E232" s="10">
        <f>IF('New students'!A95="","","Period "&amp;'New students'!B95&amp;"   ·   Student number "&amp;'New students'!C95)</f>
        <v/>
      </c>
    </row>
    <row r="233" ht="18" customHeight="1">
      <c r="A233" s="11">
        <f>IF('New students'!A94="","","Open: "&amp;Settings!$B$1)</f>
        <v/>
      </c>
      <c r="E233" s="11">
        <f>IF('New students'!A95="","","Open: "&amp;Settings!$B$1)</f>
        <v/>
      </c>
    </row>
    <row r="234" ht="30" customHeight="1">
      <c r="A234" s="11">
        <f>IF('New students'!A94="","","Tap Sign in, type your period and number, then sign in with your school Google account.")</f>
        <v/>
      </c>
      <c r="E234" s="11">
        <f>IF('New students'!A95="","","Tap Sign in, type your period and number, then sign in with your school Google account.")</f>
        <v/>
      </c>
    </row>
    <row r="235" ht="10" customHeight="1">
      <c r="A235" s="12" t="n"/>
      <c r="B235" s="14" t="n"/>
      <c r="C235" s="14" t="n"/>
      <c r="E235" s="12" t="n"/>
      <c r="F235" s="14" t="n"/>
      <c r="G235" s="14" t="n"/>
    </row>
    <row r="236" ht="24" customHeight="1">
      <c r="A236" s="9">
        <f>IF('New students'!A96="","",'New students'!A96)</f>
        <v/>
      </c>
      <c r="E236" s="9">
        <f>IF('New students'!A97="","",'New students'!A97)</f>
        <v/>
      </c>
    </row>
    <row r="237" ht="24" customHeight="1">
      <c r="A237" s="10">
        <f>IF('New students'!A96="","","Period "&amp;'New students'!B96&amp;"   ·   Student number "&amp;'New students'!C96)</f>
        <v/>
      </c>
      <c r="E237" s="10">
        <f>IF('New students'!A97="","","Period "&amp;'New students'!B97&amp;"   ·   Student number "&amp;'New students'!C97)</f>
        <v/>
      </c>
    </row>
    <row r="238" ht="18" customHeight="1">
      <c r="A238" s="11">
        <f>IF('New students'!A96="","","Open: "&amp;Settings!$B$1)</f>
        <v/>
      </c>
      <c r="E238" s="11">
        <f>IF('New students'!A97="","","Open: "&amp;Settings!$B$1)</f>
        <v/>
      </c>
    </row>
    <row r="239" ht="30" customHeight="1">
      <c r="A239" s="11">
        <f>IF('New students'!A96="","","Tap Sign in, type your period and number, then sign in with your school Google account.")</f>
        <v/>
      </c>
      <c r="E239" s="11">
        <f>IF('New students'!A97="","","Tap Sign in, type your period and number, then sign in with your school Google account.")</f>
        <v/>
      </c>
    </row>
    <row r="240" ht="10" customHeight="1">
      <c r="A240" s="12" t="n"/>
      <c r="B240" s="14" t="n"/>
      <c r="C240" s="14" t="n"/>
      <c r="E240" s="12" t="n"/>
      <c r="F240" s="14" t="n"/>
      <c r="G240" s="14" t="n"/>
    </row>
    <row r="241" ht="24" customHeight="1">
      <c r="A241" s="9">
        <f>IF('New students'!A98="","",'New students'!A98)</f>
        <v/>
      </c>
      <c r="E241" s="9">
        <f>IF('New students'!A99="","",'New students'!A99)</f>
        <v/>
      </c>
    </row>
    <row r="242" ht="24" customHeight="1">
      <c r="A242" s="10">
        <f>IF('New students'!A98="","","Period "&amp;'New students'!B98&amp;"   ·   Student number "&amp;'New students'!C98)</f>
        <v/>
      </c>
      <c r="E242" s="10">
        <f>IF('New students'!A99="","","Period "&amp;'New students'!B99&amp;"   ·   Student number "&amp;'New students'!C99)</f>
        <v/>
      </c>
    </row>
    <row r="243" ht="18" customHeight="1">
      <c r="A243" s="11">
        <f>IF('New students'!A98="","","Open: "&amp;Settings!$B$1)</f>
        <v/>
      </c>
      <c r="E243" s="11">
        <f>IF('New students'!A99="","","Open: "&amp;Settings!$B$1)</f>
        <v/>
      </c>
    </row>
    <row r="244" ht="30" customHeight="1">
      <c r="A244" s="11">
        <f>IF('New students'!A98="","","Tap Sign in, type your period and number, then sign in with your school Google account.")</f>
        <v/>
      </c>
      <c r="E244" s="11">
        <f>IF('New students'!A99="","","Tap Sign in, type your period and number, then sign in with your school Google account.")</f>
        <v/>
      </c>
    </row>
    <row r="245" ht="10" customHeight="1">
      <c r="A245" s="12" t="n"/>
      <c r="B245" s="14" t="n"/>
      <c r="C245" s="14" t="n"/>
      <c r="E245" s="12" t="n"/>
      <c r="F245" s="14" t="n"/>
      <c r="G245" s="14" t="n"/>
    </row>
    <row r="246" ht="24" customHeight="1">
      <c r="A246" s="9">
        <f>IF('New students'!A100="","",'New students'!A100)</f>
        <v/>
      </c>
      <c r="E246" s="9">
        <f>IF('New students'!A101="","",'New students'!A101)</f>
        <v/>
      </c>
    </row>
    <row r="247" ht="24" customHeight="1">
      <c r="A247" s="10">
        <f>IF('New students'!A100="","","Period "&amp;'New students'!B100&amp;"   ·   Student number "&amp;'New students'!C100)</f>
        <v/>
      </c>
      <c r="E247" s="10">
        <f>IF('New students'!A101="","","Period "&amp;'New students'!B101&amp;"   ·   Student number "&amp;'New students'!C101)</f>
        <v/>
      </c>
    </row>
    <row r="248" ht="18" customHeight="1">
      <c r="A248" s="11">
        <f>IF('New students'!A100="","","Open: "&amp;Settings!$B$1)</f>
        <v/>
      </c>
      <c r="E248" s="11">
        <f>IF('New students'!A101="","","Open: "&amp;Settings!$B$1)</f>
        <v/>
      </c>
    </row>
    <row r="249" ht="30" customHeight="1">
      <c r="A249" s="11">
        <f>IF('New students'!A100="","","Tap Sign in, type your period and number, then sign in with your school Google account.")</f>
        <v/>
      </c>
      <c r="E249" s="11">
        <f>IF('New students'!A101="","","Tap Sign in, type your period and number, then sign in with your school Google account.")</f>
        <v/>
      </c>
    </row>
    <row r="250" ht="10" customHeight="1">
      <c r="A250" s="12" t="n"/>
      <c r="B250" s="14" t="n"/>
      <c r="C250" s="14" t="n"/>
      <c r="E250" s="12" t="n"/>
      <c r="F250" s="14" t="n"/>
      <c r="G250" s="14" t="n"/>
    </row>
    <row r="251" ht="24" customHeight="1">
      <c r="A251" s="9">
        <f>IF('New students'!A102="","",'New students'!A102)</f>
        <v/>
      </c>
      <c r="E251" s="9">
        <f>IF('New students'!A103="","",'New students'!A103)</f>
        <v/>
      </c>
    </row>
    <row r="252" ht="24" customHeight="1">
      <c r="A252" s="10">
        <f>IF('New students'!A102="","","Period "&amp;'New students'!B102&amp;"   ·   Student number "&amp;'New students'!C102)</f>
        <v/>
      </c>
      <c r="E252" s="10">
        <f>IF('New students'!A103="","","Period "&amp;'New students'!B103&amp;"   ·   Student number "&amp;'New students'!C103)</f>
        <v/>
      </c>
    </row>
    <row r="253" ht="18" customHeight="1">
      <c r="A253" s="11">
        <f>IF('New students'!A102="","","Open: "&amp;Settings!$B$1)</f>
        <v/>
      </c>
      <c r="E253" s="11">
        <f>IF('New students'!A103="","","Open: "&amp;Settings!$B$1)</f>
        <v/>
      </c>
    </row>
    <row r="254" ht="30" customHeight="1">
      <c r="A254" s="11">
        <f>IF('New students'!A102="","","Tap Sign in, type your period and number, then sign in with your school Google account.")</f>
        <v/>
      </c>
      <c r="E254" s="11">
        <f>IF('New students'!A103="","","Tap Sign in, type your period and number, then sign in with your school Google account.")</f>
        <v/>
      </c>
    </row>
    <row r="255" ht="10" customHeight="1">
      <c r="A255" s="12" t="n"/>
      <c r="B255" s="14" t="n"/>
      <c r="C255" s="14" t="n"/>
      <c r="E255" s="12" t="n"/>
      <c r="F255" s="14" t="n"/>
      <c r="G255" s="14" t="n"/>
    </row>
    <row r="256" ht="24" customHeight="1">
      <c r="A256" s="9">
        <f>IF('New students'!A104="","",'New students'!A104)</f>
        <v/>
      </c>
      <c r="E256" s="9">
        <f>IF('New students'!A105="","",'New students'!A105)</f>
        <v/>
      </c>
    </row>
    <row r="257" ht="24" customHeight="1">
      <c r="A257" s="10">
        <f>IF('New students'!A104="","","Period "&amp;'New students'!B104&amp;"   ·   Student number "&amp;'New students'!C104)</f>
        <v/>
      </c>
      <c r="E257" s="10">
        <f>IF('New students'!A105="","","Period "&amp;'New students'!B105&amp;"   ·   Student number "&amp;'New students'!C105)</f>
        <v/>
      </c>
    </row>
    <row r="258" ht="18" customHeight="1">
      <c r="A258" s="11">
        <f>IF('New students'!A104="","","Open: "&amp;Settings!$B$1)</f>
        <v/>
      </c>
      <c r="E258" s="11">
        <f>IF('New students'!A105="","","Open: "&amp;Settings!$B$1)</f>
        <v/>
      </c>
    </row>
    <row r="259" ht="30" customHeight="1">
      <c r="A259" s="11">
        <f>IF('New students'!A104="","","Tap Sign in, type your period and number, then sign in with your school Google account.")</f>
        <v/>
      </c>
      <c r="E259" s="11">
        <f>IF('New students'!A105="","","Tap Sign in, type your period and number, then sign in with your school Google account.")</f>
        <v/>
      </c>
    </row>
    <row r="260" ht="10" customHeight="1">
      <c r="A260" s="12" t="n"/>
      <c r="B260" s="14" t="n"/>
      <c r="C260" s="14" t="n"/>
      <c r="E260" s="12" t="n"/>
      <c r="F260" s="14" t="n"/>
      <c r="G260" s="14" t="n"/>
    </row>
    <row r="261" ht="24" customHeight="1">
      <c r="A261" s="9">
        <f>IF('New students'!A106="","",'New students'!A106)</f>
        <v/>
      </c>
      <c r="E261" s="9">
        <f>IF('New students'!A107="","",'New students'!A107)</f>
        <v/>
      </c>
    </row>
    <row r="262" ht="24" customHeight="1">
      <c r="A262" s="10">
        <f>IF('New students'!A106="","","Period "&amp;'New students'!B106&amp;"   ·   Student number "&amp;'New students'!C106)</f>
        <v/>
      </c>
      <c r="E262" s="10">
        <f>IF('New students'!A107="","","Period "&amp;'New students'!B107&amp;"   ·   Student number "&amp;'New students'!C107)</f>
        <v/>
      </c>
    </row>
    <row r="263" ht="18" customHeight="1">
      <c r="A263" s="11">
        <f>IF('New students'!A106="","","Open: "&amp;Settings!$B$1)</f>
        <v/>
      </c>
      <c r="E263" s="11">
        <f>IF('New students'!A107="","","Open: "&amp;Settings!$B$1)</f>
        <v/>
      </c>
    </row>
    <row r="264" ht="30" customHeight="1">
      <c r="A264" s="11">
        <f>IF('New students'!A106="","","Tap Sign in, type your period and number, then sign in with your school Google account.")</f>
        <v/>
      </c>
      <c r="E264" s="11">
        <f>IF('New students'!A107="","","Tap Sign in, type your period and number, then sign in with your school Google account.")</f>
        <v/>
      </c>
    </row>
    <row r="265" ht="10" customHeight="1">
      <c r="A265" s="12" t="n"/>
      <c r="B265" s="14" t="n"/>
      <c r="C265" s="14" t="n"/>
      <c r="E265" s="12" t="n"/>
      <c r="F265" s="14" t="n"/>
      <c r="G265" s="14" t="n"/>
    </row>
    <row r="266" ht="24" customHeight="1">
      <c r="A266" s="9">
        <f>IF('New students'!A108="","",'New students'!A108)</f>
        <v/>
      </c>
      <c r="E266" s="9">
        <f>IF('New students'!A109="","",'New students'!A109)</f>
        <v/>
      </c>
    </row>
    <row r="267" ht="24" customHeight="1">
      <c r="A267" s="10">
        <f>IF('New students'!A108="","","Period "&amp;'New students'!B108&amp;"   ·   Student number "&amp;'New students'!C108)</f>
        <v/>
      </c>
      <c r="E267" s="10">
        <f>IF('New students'!A109="","","Period "&amp;'New students'!B109&amp;"   ·   Student number "&amp;'New students'!C109)</f>
        <v/>
      </c>
    </row>
    <row r="268" ht="18" customHeight="1">
      <c r="A268" s="11">
        <f>IF('New students'!A108="","","Open: "&amp;Settings!$B$1)</f>
        <v/>
      </c>
      <c r="E268" s="11">
        <f>IF('New students'!A109="","","Open: "&amp;Settings!$B$1)</f>
        <v/>
      </c>
    </row>
    <row r="269" ht="30" customHeight="1">
      <c r="A269" s="11">
        <f>IF('New students'!A108="","","Tap Sign in, type your period and number, then sign in with your school Google account.")</f>
        <v/>
      </c>
      <c r="E269" s="11">
        <f>IF('New students'!A109="","","Tap Sign in, type your period and number, then sign in with your school Google account.")</f>
        <v/>
      </c>
    </row>
    <row r="270" ht="10" customHeight="1">
      <c r="A270" s="12" t="n"/>
      <c r="B270" s="14" t="n"/>
      <c r="C270" s="14" t="n"/>
      <c r="E270" s="12" t="n"/>
      <c r="F270" s="14" t="n"/>
      <c r="G270" s="14" t="n"/>
    </row>
    <row r="271" ht="24" customHeight="1">
      <c r="A271" s="9">
        <f>IF('New students'!A110="","",'New students'!A110)</f>
        <v/>
      </c>
      <c r="E271" s="9">
        <f>IF('New students'!A111="","",'New students'!A111)</f>
        <v/>
      </c>
    </row>
    <row r="272" ht="24" customHeight="1">
      <c r="A272" s="10">
        <f>IF('New students'!A110="","","Period "&amp;'New students'!B110&amp;"   ·   Student number "&amp;'New students'!C110)</f>
        <v/>
      </c>
      <c r="E272" s="10">
        <f>IF('New students'!A111="","","Period "&amp;'New students'!B111&amp;"   ·   Student number "&amp;'New students'!C111)</f>
        <v/>
      </c>
    </row>
    <row r="273" ht="18" customHeight="1">
      <c r="A273" s="11">
        <f>IF('New students'!A110="","","Open: "&amp;Settings!$B$1)</f>
        <v/>
      </c>
      <c r="E273" s="11">
        <f>IF('New students'!A111="","","Open: "&amp;Settings!$B$1)</f>
        <v/>
      </c>
    </row>
    <row r="274" ht="30" customHeight="1">
      <c r="A274" s="11">
        <f>IF('New students'!A110="","","Tap Sign in, type your period and number, then sign in with your school Google account.")</f>
        <v/>
      </c>
      <c r="E274" s="11">
        <f>IF('New students'!A111="","","Tap Sign in, type your period and number, then sign in with your school Google account.")</f>
        <v/>
      </c>
    </row>
    <row r="275" ht="10" customHeight="1">
      <c r="A275" s="12" t="n"/>
      <c r="B275" s="14" t="n"/>
      <c r="C275" s="14" t="n"/>
      <c r="E275" s="12" t="n"/>
      <c r="F275" s="14" t="n"/>
      <c r="G275" s="14" t="n"/>
    </row>
    <row r="276" ht="24" customHeight="1">
      <c r="A276" s="9">
        <f>IF('New students'!A112="","",'New students'!A112)</f>
        <v/>
      </c>
      <c r="E276" s="9">
        <f>IF('New students'!A113="","",'New students'!A113)</f>
        <v/>
      </c>
    </row>
    <row r="277" ht="24" customHeight="1">
      <c r="A277" s="10">
        <f>IF('New students'!A112="","","Period "&amp;'New students'!B112&amp;"   ·   Student number "&amp;'New students'!C112)</f>
        <v/>
      </c>
      <c r="E277" s="10">
        <f>IF('New students'!A113="","","Period "&amp;'New students'!B113&amp;"   ·   Student number "&amp;'New students'!C113)</f>
        <v/>
      </c>
    </row>
    <row r="278" ht="18" customHeight="1">
      <c r="A278" s="11">
        <f>IF('New students'!A112="","","Open: "&amp;Settings!$B$1)</f>
        <v/>
      </c>
      <c r="E278" s="11">
        <f>IF('New students'!A113="","","Open: "&amp;Settings!$B$1)</f>
        <v/>
      </c>
    </row>
    <row r="279" ht="30" customHeight="1">
      <c r="A279" s="11">
        <f>IF('New students'!A112="","","Tap Sign in, type your period and number, then sign in with your school Google account.")</f>
        <v/>
      </c>
      <c r="E279" s="11">
        <f>IF('New students'!A113="","","Tap Sign in, type your period and number, then sign in with your school Google account.")</f>
        <v/>
      </c>
    </row>
    <row r="280" ht="10" customHeight="1">
      <c r="A280" s="12" t="n"/>
      <c r="B280" s="14" t="n"/>
      <c r="C280" s="14" t="n"/>
      <c r="E280" s="12" t="n"/>
      <c r="F280" s="14" t="n"/>
      <c r="G280" s="14" t="n"/>
    </row>
    <row r="281" ht="24" customHeight="1">
      <c r="A281" s="9">
        <f>IF('New students'!A114="","",'New students'!A114)</f>
        <v/>
      </c>
      <c r="E281" s="9">
        <f>IF('New students'!A115="","",'New students'!A115)</f>
        <v/>
      </c>
    </row>
    <row r="282" ht="24" customHeight="1">
      <c r="A282" s="10">
        <f>IF('New students'!A114="","","Period "&amp;'New students'!B114&amp;"   ·   Student number "&amp;'New students'!C114)</f>
        <v/>
      </c>
      <c r="E282" s="10">
        <f>IF('New students'!A115="","","Period "&amp;'New students'!B115&amp;"   ·   Student number "&amp;'New students'!C115)</f>
        <v/>
      </c>
    </row>
    <row r="283" ht="18" customHeight="1">
      <c r="A283" s="11">
        <f>IF('New students'!A114="","","Open: "&amp;Settings!$B$1)</f>
        <v/>
      </c>
      <c r="E283" s="11">
        <f>IF('New students'!A115="","","Open: "&amp;Settings!$B$1)</f>
        <v/>
      </c>
    </row>
    <row r="284" ht="30" customHeight="1">
      <c r="A284" s="11">
        <f>IF('New students'!A114="","","Tap Sign in, type your period and number, then sign in with your school Google account.")</f>
        <v/>
      </c>
      <c r="E284" s="11">
        <f>IF('New students'!A115="","","Tap Sign in, type your period and number, then sign in with your school Google account.")</f>
        <v/>
      </c>
    </row>
    <row r="285" ht="10" customHeight="1">
      <c r="A285" s="12" t="n"/>
      <c r="B285" s="14" t="n"/>
      <c r="C285" s="14" t="n"/>
      <c r="E285" s="12" t="n"/>
      <c r="F285" s="14" t="n"/>
      <c r="G285" s="14" t="n"/>
    </row>
    <row r="286" ht="24" customHeight="1">
      <c r="A286" s="9">
        <f>IF('New students'!A116="","",'New students'!A116)</f>
        <v/>
      </c>
      <c r="E286" s="9">
        <f>IF('New students'!A117="","",'New students'!A117)</f>
        <v/>
      </c>
    </row>
    <row r="287" ht="24" customHeight="1">
      <c r="A287" s="10">
        <f>IF('New students'!A116="","","Period "&amp;'New students'!B116&amp;"   ·   Student number "&amp;'New students'!C116)</f>
        <v/>
      </c>
      <c r="E287" s="10">
        <f>IF('New students'!A117="","","Period "&amp;'New students'!B117&amp;"   ·   Student number "&amp;'New students'!C117)</f>
        <v/>
      </c>
    </row>
    <row r="288" ht="18" customHeight="1">
      <c r="A288" s="11">
        <f>IF('New students'!A116="","","Open: "&amp;Settings!$B$1)</f>
        <v/>
      </c>
      <c r="E288" s="11">
        <f>IF('New students'!A117="","","Open: "&amp;Settings!$B$1)</f>
        <v/>
      </c>
    </row>
    <row r="289" ht="30" customHeight="1">
      <c r="A289" s="11">
        <f>IF('New students'!A116="","","Tap Sign in, type your period and number, then sign in with your school Google account.")</f>
        <v/>
      </c>
      <c r="E289" s="11">
        <f>IF('New students'!A117="","","Tap Sign in, type your period and number, then sign in with your school Google account.")</f>
        <v/>
      </c>
    </row>
    <row r="290" ht="10" customHeight="1">
      <c r="A290" s="12" t="n"/>
      <c r="B290" s="14" t="n"/>
      <c r="C290" s="14" t="n"/>
      <c r="E290" s="12" t="n"/>
      <c r="F290" s="14" t="n"/>
      <c r="G290" s="14" t="n"/>
    </row>
    <row r="291" ht="24" customHeight="1">
      <c r="A291" s="9">
        <f>IF('New students'!A118="","",'New students'!A118)</f>
        <v/>
      </c>
      <c r="E291" s="9">
        <f>IF('New students'!A119="","",'New students'!A119)</f>
        <v/>
      </c>
    </row>
    <row r="292" ht="24" customHeight="1">
      <c r="A292" s="10">
        <f>IF('New students'!A118="","","Period "&amp;'New students'!B118&amp;"   ·   Student number "&amp;'New students'!C118)</f>
        <v/>
      </c>
      <c r="E292" s="10">
        <f>IF('New students'!A119="","","Period "&amp;'New students'!B119&amp;"   ·   Student number "&amp;'New students'!C119)</f>
        <v/>
      </c>
    </row>
    <row r="293" ht="18" customHeight="1">
      <c r="A293" s="11">
        <f>IF('New students'!A118="","","Open: "&amp;Settings!$B$1)</f>
        <v/>
      </c>
      <c r="E293" s="11">
        <f>IF('New students'!A119="","","Open: "&amp;Settings!$B$1)</f>
        <v/>
      </c>
    </row>
    <row r="294" ht="30" customHeight="1">
      <c r="A294" s="11">
        <f>IF('New students'!A118="","","Tap Sign in, type your period and number, then sign in with your school Google account.")</f>
        <v/>
      </c>
      <c r="E294" s="11">
        <f>IF('New students'!A119="","","Tap Sign in, type your period and number, then sign in with your school Google account.")</f>
        <v/>
      </c>
    </row>
    <row r="295" ht="10" customHeight="1">
      <c r="A295" s="12" t="n"/>
      <c r="B295" s="14" t="n"/>
      <c r="C295" s="14" t="n"/>
      <c r="E295" s="12" t="n"/>
      <c r="F295" s="14" t="n"/>
      <c r="G295" s="14" t="n"/>
    </row>
    <row r="296" ht="24" customHeight="1">
      <c r="A296" s="9">
        <f>IF('New students'!A120="","",'New students'!A120)</f>
        <v/>
      </c>
      <c r="E296" s="9">
        <f>IF('New students'!A121="","",'New students'!A121)</f>
        <v/>
      </c>
    </row>
    <row r="297" ht="24" customHeight="1">
      <c r="A297" s="10">
        <f>IF('New students'!A120="","","Period "&amp;'New students'!B120&amp;"   ·   Student number "&amp;'New students'!C120)</f>
        <v/>
      </c>
      <c r="E297" s="10">
        <f>IF('New students'!A121="","","Period "&amp;'New students'!B121&amp;"   ·   Student number "&amp;'New students'!C121)</f>
        <v/>
      </c>
    </row>
    <row r="298" ht="18" customHeight="1">
      <c r="A298" s="11">
        <f>IF('New students'!A120="","","Open: "&amp;Settings!$B$1)</f>
        <v/>
      </c>
      <c r="E298" s="11">
        <f>IF('New students'!A121="","","Open: "&amp;Settings!$B$1)</f>
        <v/>
      </c>
    </row>
    <row r="299" ht="30" customHeight="1">
      <c r="A299" s="11">
        <f>IF('New students'!A120="","","Tap Sign in, type your period and number, then sign in with your school Google account.")</f>
        <v/>
      </c>
      <c r="E299" s="11">
        <f>IF('New students'!A121="","","Tap Sign in, type your period and number, then sign in with your school Google account.")</f>
        <v/>
      </c>
    </row>
    <row r="300" ht="10" customHeight="1">
      <c r="A300" s="12" t="n"/>
      <c r="B300" s="14" t="n"/>
      <c r="C300" s="14" t="n"/>
      <c r="E300" s="12" t="n"/>
      <c r="F300" s="14" t="n"/>
      <c r="G300" s="14" t="n"/>
    </row>
    <row r="301" ht="24" customHeight="1">
      <c r="A301" s="9">
        <f>IF('New students'!A122="","",'New students'!A122)</f>
        <v/>
      </c>
      <c r="E301" s="9">
        <f>IF('New students'!A123="","",'New students'!A123)</f>
        <v/>
      </c>
    </row>
    <row r="302" ht="24" customHeight="1">
      <c r="A302" s="10">
        <f>IF('New students'!A122="","","Period "&amp;'New students'!B122&amp;"   ·   Student number "&amp;'New students'!C122)</f>
        <v/>
      </c>
      <c r="E302" s="10">
        <f>IF('New students'!A123="","","Period "&amp;'New students'!B123&amp;"   ·   Student number "&amp;'New students'!C123)</f>
        <v/>
      </c>
    </row>
    <row r="303" ht="18" customHeight="1">
      <c r="A303" s="11">
        <f>IF('New students'!A122="","","Open: "&amp;Settings!$B$1)</f>
        <v/>
      </c>
      <c r="E303" s="11">
        <f>IF('New students'!A123="","","Open: "&amp;Settings!$B$1)</f>
        <v/>
      </c>
    </row>
    <row r="304" ht="30" customHeight="1">
      <c r="A304" s="11">
        <f>IF('New students'!A122="","","Tap Sign in, type your period and number, then sign in with your school Google account.")</f>
        <v/>
      </c>
      <c r="E304" s="11">
        <f>IF('New students'!A123="","","Tap Sign in, type your period and number, then sign in with your school Google account.")</f>
        <v/>
      </c>
    </row>
    <row r="305" ht="10" customHeight="1">
      <c r="A305" s="12" t="n"/>
      <c r="B305" s="14" t="n"/>
      <c r="C305" s="14" t="n"/>
      <c r="E305" s="12" t="n"/>
      <c r="F305" s="14" t="n"/>
      <c r="G305" s="14" t="n"/>
    </row>
    <row r="306" ht="24" customHeight="1">
      <c r="A306" s="9">
        <f>IF('New students'!A124="","",'New students'!A124)</f>
        <v/>
      </c>
      <c r="E306" s="9">
        <f>IF('New students'!A125="","",'New students'!A125)</f>
        <v/>
      </c>
    </row>
    <row r="307" ht="24" customHeight="1">
      <c r="A307" s="10">
        <f>IF('New students'!A124="","","Period "&amp;'New students'!B124&amp;"   ·   Student number "&amp;'New students'!C124)</f>
        <v/>
      </c>
      <c r="E307" s="10">
        <f>IF('New students'!A125="","","Period "&amp;'New students'!B125&amp;"   ·   Student number "&amp;'New students'!C125)</f>
        <v/>
      </c>
    </row>
    <row r="308" ht="18" customHeight="1">
      <c r="A308" s="11">
        <f>IF('New students'!A124="","","Open: "&amp;Settings!$B$1)</f>
        <v/>
      </c>
      <c r="E308" s="11">
        <f>IF('New students'!A125="","","Open: "&amp;Settings!$B$1)</f>
        <v/>
      </c>
    </row>
    <row r="309" ht="30" customHeight="1">
      <c r="A309" s="11">
        <f>IF('New students'!A124="","","Tap Sign in, type your period and number, then sign in with your school Google account.")</f>
        <v/>
      </c>
      <c r="E309" s="11">
        <f>IF('New students'!A125="","","Tap Sign in, type your period and number, then sign in with your school Google account.")</f>
        <v/>
      </c>
    </row>
    <row r="310" ht="10" customHeight="1">
      <c r="A310" s="12" t="n"/>
      <c r="B310" s="14" t="n"/>
      <c r="C310" s="14" t="n"/>
      <c r="E310" s="12" t="n"/>
      <c r="F310" s="14" t="n"/>
      <c r="G310" s="14" t="n"/>
    </row>
    <row r="311" ht="24" customHeight="1">
      <c r="A311" s="9">
        <f>IF('New students'!A126="","",'New students'!A126)</f>
        <v/>
      </c>
      <c r="E311" s="9">
        <f>IF('New students'!A127="","",'New students'!A127)</f>
        <v/>
      </c>
    </row>
    <row r="312" ht="24" customHeight="1">
      <c r="A312" s="10">
        <f>IF('New students'!A126="","","Period "&amp;'New students'!B126&amp;"   ·   Student number "&amp;'New students'!C126)</f>
        <v/>
      </c>
      <c r="E312" s="10">
        <f>IF('New students'!A127="","","Period "&amp;'New students'!B127&amp;"   ·   Student number "&amp;'New students'!C127)</f>
        <v/>
      </c>
    </row>
    <row r="313" ht="18" customHeight="1">
      <c r="A313" s="11">
        <f>IF('New students'!A126="","","Open: "&amp;Settings!$B$1)</f>
        <v/>
      </c>
      <c r="E313" s="11">
        <f>IF('New students'!A127="","","Open: "&amp;Settings!$B$1)</f>
        <v/>
      </c>
    </row>
    <row r="314" ht="30" customHeight="1">
      <c r="A314" s="11">
        <f>IF('New students'!A126="","","Tap Sign in, type your period and number, then sign in with your school Google account.")</f>
        <v/>
      </c>
      <c r="E314" s="11">
        <f>IF('New students'!A127="","","Tap Sign in, type your period and number, then sign in with your school Google account.")</f>
        <v/>
      </c>
    </row>
    <row r="315" ht="10" customHeight="1">
      <c r="A315" s="12" t="n"/>
      <c r="B315" s="14" t="n"/>
      <c r="C315" s="14" t="n"/>
      <c r="E315" s="12" t="n"/>
      <c r="F315" s="14" t="n"/>
      <c r="G315" s="14" t="n"/>
    </row>
    <row r="316" ht="24" customHeight="1">
      <c r="A316" s="9">
        <f>IF('New students'!A128="","",'New students'!A128)</f>
        <v/>
      </c>
      <c r="E316" s="9">
        <f>IF('New students'!A129="","",'New students'!A129)</f>
        <v/>
      </c>
    </row>
    <row r="317" ht="24" customHeight="1">
      <c r="A317" s="10">
        <f>IF('New students'!A128="","","Period "&amp;'New students'!B128&amp;"   ·   Student number "&amp;'New students'!C128)</f>
        <v/>
      </c>
      <c r="E317" s="10">
        <f>IF('New students'!A129="","","Period "&amp;'New students'!B129&amp;"   ·   Student number "&amp;'New students'!C129)</f>
        <v/>
      </c>
    </row>
    <row r="318" ht="18" customHeight="1">
      <c r="A318" s="11">
        <f>IF('New students'!A128="","","Open: "&amp;Settings!$B$1)</f>
        <v/>
      </c>
      <c r="E318" s="11">
        <f>IF('New students'!A129="","","Open: "&amp;Settings!$B$1)</f>
        <v/>
      </c>
    </row>
    <row r="319" ht="30" customHeight="1">
      <c r="A319" s="11">
        <f>IF('New students'!A128="","","Tap Sign in, type your period and number, then sign in with your school Google account.")</f>
        <v/>
      </c>
      <c r="E319" s="11">
        <f>IF('New students'!A129="","","Tap Sign in, type your period and number, then sign in with your school Google account.")</f>
        <v/>
      </c>
    </row>
    <row r="320" ht="10" customHeight="1">
      <c r="A320" s="12" t="n"/>
      <c r="B320" s="14" t="n"/>
      <c r="C320" s="14" t="n"/>
      <c r="E320" s="12" t="n"/>
      <c r="F320" s="14" t="n"/>
      <c r="G320" s="14" t="n"/>
    </row>
    <row r="321" ht="24" customHeight="1">
      <c r="A321" s="9">
        <f>IF('New students'!A130="","",'New students'!A130)</f>
        <v/>
      </c>
      <c r="E321" s="9">
        <f>IF('New students'!A131="","",'New students'!A131)</f>
        <v/>
      </c>
    </row>
    <row r="322" ht="24" customHeight="1">
      <c r="A322" s="10">
        <f>IF('New students'!A130="","","Period "&amp;'New students'!B130&amp;"   ·   Student number "&amp;'New students'!C130)</f>
        <v/>
      </c>
      <c r="E322" s="10">
        <f>IF('New students'!A131="","","Period "&amp;'New students'!B131&amp;"   ·   Student number "&amp;'New students'!C131)</f>
        <v/>
      </c>
    </row>
    <row r="323" ht="18" customHeight="1">
      <c r="A323" s="11">
        <f>IF('New students'!A130="","","Open: "&amp;Settings!$B$1)</f>
        <v/>
      </c>
      <c r="E323" s="11">
        <f>IF('New students'!A131="","","Open: "&amp;Settings!$B$1)</f>
        <v/>
      </c>
    </row>
    <row r="324" ht="30" customHeight="1">
      <c r="A324" s="11">
        <f>IF('New students'!A130="","","Tap Sign in, type your period and number, then sign in with your school Google account.")</f>
        <v/>
      </c>
      <c r="E324" s="11">
        <f>IF('New students'!A131="","","Tap Sign in, type your period and number, then sign in with your school Google account.")</f>
        <v/>
      </c>
    </row>
    <row r="325" ht="10" customHeight="1">
      <c r="A325" s="12" t="n"/>
      <c r="B325" s="14" t="n"/>
      <c r="C325" s="14" t="n"/>
      <c r="E325" s="12" t="n"/>
      <c r="F325" s="14" t="n"/>
      <c r="G325" s="14" t="n"/>
    </row>
    <row r="326" ht="24" customHeight="1">
      <c r="A326" s="9">
        <f>IF('New students'!A132="","",'New students'!A132)</f>
        <v/>
      </c>
      <c r="E326" s="9">
        <f>IF('New students'!A133="","",'New students'!A133)</f>
        <v/>
      </c>
    </row>
    <row r="327" ht="24" customHeight="1">
      <c r="A327" s="10">
        <f>IF('New students'!A132="","","Period "&amp;'New students'!B132&amp;"   ·   Student number "&amp;'New students'!C132)</f>
        <v/>
      </c>
      <c r="E327" s="10">
        <f>IF('New students'!A133="","","Period "&amp;'New students'!B133&amp;"   ·   Student number "&amp;'New students'!C133)</f>
        <v/>
      </c>
    </row>
    <row r="328" ht="18" customHeight="1">
      <c r="A328" s="11">
        <f>IF('New students'!A132="","","Open: "&amp;Settings!$B$1)</f>
        <v/>
      </c>
      <c r="E328" s="11">
        <f>IF('New students'!A133="","","Open: "&amp;Settings!$B$1)</f>
        <v/>
      </c>
    </row>
    <row r="329" ht="30" customHeight="1">
      <c r="A329" s="11">
        <f>IF('New students'!A132="","","Tap Sign in, type your period and number, then sign in with your school Google account.")</f>
        <v/>
      </c>
      <c r="E329" s="11">
        <f>IF('New students'!A133="","","Tap Sign in, type your period and number, then sign in with your school Google account.")</f>
        <v/>
      </c>
    </row>
    <row r="330" ht="10" customHeight="1">
      <c r="A330" s="12" t="n"/>
      <c r="B330" s="14" t="n"/>
      <c r="C330" s="14" t="n"/>
      <c r="E330" s="12" t="n"/>
      <c r="F330" s="14" t="n"/>
      <c r="G330" s="14" t="n"/>
    </row>
    <row r="331" ht="24" customHeight="1">
      <c r="A331" s="9">
        <f>IF('New students'!A134="","",'New students'!A134)</f>
        <v/>
      </c>
      <c r="E331" s="9">
        <f>IF('New students'!A135="","",'New students'!A135)</f>
        <v/>
      </c>
    </row>
    <row r="332" ht="24" customHeight="1">
      <c r="A332" s="10">
        <f>IF('New students'!A134="","","Period "&amp;'New students'!B134&amp;"   ·   Student number "&amp;'New students'!C134)</f>
        <v/>
      </c>
      <c r="E332" s="10">
        <f>IF('New students'!A135="","","Period "&amp;'New students'!B135&amp;"   ·   Student number "&amp;'New students'!C135)</f>
        <v/>
      </c>
    </row>
    <row r="333" ht="18" customHeight="1">
      <c r="A333" s="11">
        <f>IF('New students'!A134="","","Open: "&amp;Settings!$B$1)</f>
        <v/>
      </c>
      <c r="E333" s="11">
        <f>IF('New students'!A135="","","Open: "&amp;Settings!$B$1)</f>
        <v/>
      </c>
    </row>
    <row r="334" ht="30" customHeight="1">
      <c r="A334" s="11">
        <f>IF('New students'!A134="","","Tap Sign in, type your period and number, then sign in with your school Google account.")</f>
        <v/>
      </c>
      <c r="E334" s="11">
        <f>IF('New students'!A135="","","Tap Sign in, type your period and number, then sign in with your school Google account.")</f>
        <v/>
      </c>
    </row>
    <row r="335" ht="10" customHeight="1">
      <c r="A335" s="12" t="n"/>
      <c r="B335" s="14" t="n"/>
      <c r="C335" s="14" t="n"/>
      <c r="E335" s="12" t="n"/>
      <c r="F335" s="14" t="n"/>
      <c r="G335" s="14" t="n"/>
    </row>
    <row r="336" ht="24" customHeight="1">
      <c r="A336" s="9">
        <f>IF('New students'!A136="","",'New students'!A136)</f>
        <v/>
      </c>
      <c r="E336" s="9">
        <f>IF('New students'!A137="","",'New students'!A137)</f>
        <v/>
      </c>
    </row>
    <row r="337" ht="24" customHeight="1">
      <c r="A337" s="10">
        <f>IF('New students'!A136="","","Period "&amp;'New students'!B136&amp;"   ·   Student number "&amp;'New students'!C136)</f>
        <v/>
      </c>
      <c r="E337" s="10">
        <f>IF('New students'!A137="","","Period "&amp;'New students'!B137&amp;"   ·   Student number "&amp;'New students'!C137)</f>
        <v/>
      </c>
    </row>
    <row r="338" ht="18" customHeight="1">
      <c r="A338" s="11">
        <f>IF('New students'!A136="","","Open: "&amp;Settings!$B$1)</f>
        <v/>
      </c>
      <c r="E338" s="11">
        <f>IF('New students'!A137="","","Open: "&amp;Settings!$B$1)</f>
        <v/>
      </c>
    </row>
    <row r="339" ht="30" customHeight="1">
      <c r="A339" s="11">
        <f>IF('New students'!A136="","","Tap Sign in, type your period and number, then sign in with your school Google account.")</f>
        <v/>
      </c>
      <c r="E339" s="11">
        <f>IF('New students'!A137="","","Tap Sign in, type your period and number, then sign in with your school Google account.")</f>
        <v/>
      </c>
    </row>
    <row r="340" ht="10" customHeight="1">
      <c r="A340" s="12" t="n"/>
      <c r="B340" s="14" t="n"/>
      <c r="C340" s="14" t="n"/>
      <c r="E340" s="12" t="n"/>
      <c r="F340" s="14" t="n"/>
      <c r="G340" s="14" t="n"/>
    </row>
    <row r="341" ht="24" customHeight="1">
      <c r="A341" s="9">
        <f>IF('New students'!A138="","",'New students'!A138)</f>
        <v/>
      </c>
      <c r="E341" s="9">
        <f>IF('New students'!A139="","",'New students'!A139)</f>
        <v/>
      </c>
    </row>
    <row r="342" ht="24" customHeight="1">
      <c r="A342" s="10">
        <f>IF('New students'!A138="","","Period "&amp;'New students'!B138&amp;"   ·   Student number "&amp;'New students'!C138)</f>
        <v/>
      </c>
      <c r="E342" s="10">
        <f>IF('New students'!A139="","","Period "&amp;'New students'!B139&amp;"   ·   Student number "&amp;'New students'!C139)</f>
        <v/>
      </c>
    </row>
    <row r="343" ht="18" customHeight="1">
      <c r="A343" s="11">
        <f>IF('New students'!A138="","","Open: "&amp;Settings!$B$1)</f>
        <v/>
      </c>
      <c r="E343" s="11">
        <f>IF('New students'!A139="","","Open: "&amp;Settings!$B$1)</f>
        <v/>
      </c>
    </row>
    <row r="344" ht="30" customHeight="1">
      <c r="A344" s="11">
        <f>IF('New students'!A138="","","Tap Sign in, type your period and number, then sign in with your school Google account.")</f>
        <v/>
      </c>
      <c r="E344" s="11">
        <f>IF('New students'!A139="","","Tap Sign in, type your period and number, then sign in with your school Google account.")</f>
        <v/>
      </c>
    </row>
    <row r="345" ht="10" customHeight="1">
      <c r="A345" s="12" t="n"/>
      <c r="B345" s="14" t="n"/>
      <c r="C345" s="14" t="n"/>
      <c r="E345" s="12" t="n"/>
      <c r="F345" s="14" t="n"/>
      <c r="G345" s="14" t="n"/>
    </row>
    <row r="346" ht="24" customHeight="1">
      <c r="A346" s="9">
        <f>IF('New students'!A140="","",'New students'!A140)</f>
        <v/>
      </c>
      <c r="E346" s="9">
        <f>IF('New students'!A141="","",'New students'!A141)</f>
        <v/>
      </c>
    </row>
    <row r="347" ht="24" customHeight="1">
      <c r="A347" s="10">
        <f>IF('New students'!A140="","","Period "&amp;'New students'!B140&amp;"   ·   Student number "&amp;'New students'!C140)</f>
        <v/>
      </c>
      <c r="E347" s="10">
        <f>IF('New students'!A141="","","Period "&amp;'New students'!B141&amp;"   ·   Student number "&amp;'New students'!C141)</f>
        <v/>
      </c>
    </row>
    <row r="348" ht="18" customHeight="1">
      <c r="A348" s="11">
        <f>IF('New students'!A140="","","Open: "&amp;Settings!$B$1)</f>
        <v/>
      </c>
      <c r="E348" s="11">
        <f>IF('New students'!A141="","","Open: "&amp;Settings!$B$1)</f>
        <v/>
      </c>
    </row>
    <row r="349" ht="30" customHeight="1">
      <c r="A349" s="11">
        <f>IF('New students'!A140="","","Tap Sign in, type your period and number, then sign in with your school Google account.")</f>
        <v/>
      </c>
      <c r="E349" s="11">
        <f>IF('New students'!A141="","","Tap Sign in, type your period and number, then sign in with your school Google account.")</f>
        <v/>
      </c>
    </row>
    <row r="350" ht="10" customHeight="1">
      <c r="A350" s="12" t="n"/>
      <c r="B350" s="14" t="n"/>
      <c r="C350" s="14" t="n"/>
      <c r="E350" s="12" t="n"/>
      <c r="F350" s="14" t="n"/>
      <c r="G350" s="14" t="n"/>
    </row>
    <row r="351" ht="24" customHeight="1">
      <c r="A351" s="9">
        <f>IF('New students'!A142="","",'New students'!A142)</f>
        <v/>
      </c>
      <c r="E351" s="9">
        <f>IF('New students'!A143="","",'New students'!A143)</f>
        <v/>
      </c>
    </row>
    <row r="352" ht="24" customHeight="1">
      <c r="A352" s="10">
        <f>IF('New students'!A142="","","Period "&amp;'New students'!B142&amp;"   ·   Student number "&amp;'New students'!C142)</f>
        <v/>
      </c>
      <c r="E352" s="10">
        <f>IF('New students'!A143="","","Period "&amp;'New students'!B143&amp;"   ·   Student number "&amp;'New students'!C143)</f>
        <v/>
      </c>
    </row>
    <row r="353" ht="18" customHeight="1">
      <c r="A353" s="11">
        <f>IF('New students'!A142="","","Open: "&amp;Settings!$B$1)</f>
        <v/>
      </c>
      <c r="E353" s="11">
        <f>IF('New students'!A143="","","Open: "&amp;Settings!$B$1)</f>
        <v/>
      </c>
    </row>
    <row r="354" ht="30" customHeight="1">
      <c r="A354" s="11">
        <f>IF('New students'!A142="","","Tap Sign in, type your period and number, then sign in with your school Google account.")</f>
        <v/>
      </c>
      <c r="E354" s="11">
        <f>IF('New students'!A143="","","Tap Sign in, type your period and number, then sign in with your school Google account.")</f>
        <v/>
      </c>
    </row>
    <row r="355" ht="10" customHeight="1">
      <c r="A355" s="12" t="n"/>
      <c r="B355" s="14" t="n"/>
      <c r="C355" s="14" t="n"/>
      <c r="E355" s="12" t="n"/>
      <c r="F355" s="14" t="n"/>
      <c r="G355" s="14" t="n"/>
    </row>
    <row r="356" ht="24" customHeight="1">
      <c r="A356" s="9">
        <f>IF('New students'!A144="","",'New students'!A144)</f>
        <v/>
      </c>
      <c r="E356" s="9">
        <f>IF('New students'!A145="","",'New students'!A145)</f>
        <v/>
      </c>
    </row>
    <row r="357" ht="24" customHeight="1">
      <c r="A357" s="10">
        <f>IF('New students'!A144="","","Period "&amp;'New students'!B144&amp;"   ·   Student number "&amp;'New students'!C144)</f>
        <v/>
      </c>
      <c r="E357" s="10">
        <f>IF('New students'!A145="","","Period "&amp;'New students'!B145&amp;"   ·   Student number "&amp;'New students'!C145)</f>
        <v/>
      </c>
    </row>
    <row r="358" ht="18" customHeight="1">
      <c r="A358" s="11">
        <f>IF('New students'!A144="","","Open: "&amp;Settings!$B$1)</f>
        <v/>
      </c>
      <c r="E358" s="11">
        <f>IF('New students'!A145="","","Open: "&amp;Settings!$B$1)</f>
        <v/>
      </c>
    </row>
    <row r="359" ht="30" customHeight="1">
      <c r="A359" s="11">
        <f>IF('New students'!A144="","","Tap Sign in, type your period and number, then sign in with your school Google account.")</f>
        <v/>
      </c>
      <c r="E359" s="11">
        <f>IF('New students'!A145="","","Tap Sign in, type your period and number, then sign in with your school Google account.")</f>
        <v/>
      </c>
    </row>
    <row r="360" ht="10" customHeight="1">
      <c r="A360" s="12" t="n"/>
      <c r="B360" s="14" t="n"/>
      <c r="C360" s="14" t="n"/>
      <c r="E360" s="12" t="n"/>
      <c r="F360" s="14" t="n"/>
      <c r="G360" s="14" t="n"/>
    </row>
    <row r="361" ht="24" customHeight="1">
      <c r="A361" s="9">
        <f>IF('New students'!A146="","",'New students'!A146)</f>
        <v/>
      </c>
      <c r="E361" s="9">
        <f>IF('New students'!A147="","",'New students'!A147)</f>
        <v/>
      </c>
    </row>
    <row r="362" ht="24" customHeight="1">
      <c r="A362" s="10">
        <f>IF('New students'!A146="","","Period "&amp;'New students'!B146&amp;"   ·   Student number "&amp;'New students'!C146)</f>
        <v/>
      </c>
      <c r="E362" s="10">
        <f>IF('New students'!A147="","","Period "&amp;'New students'!B147&amp;"   ·   Student number "&amp;'New students'!C147)</f>
        <v/>
      </c>
    </row>
    <row r="363" ht="18" customHeight="1">
      <c r="A363" s="11">
        <f>IF('New students'!A146="","","Open: "&amp;Settings!$B$1)</f>
        <v/>
      </c>
      <c r="E363" s="11">
        <f>IF('New students'!A147="","","Open: "&amp;Settings!$B$1)</f>
        <v/>
      </c>
    </row>
    <row r="364" ht="30" customHeight="1">
      <c r="A364" s="11">
        <f>IF('New students'!A146="","","Tap Sign in, type your period and number, then sign in with your school Google account.")</f>
        <v/>
      </c>
      <c r="E364" s="11">
        <f>IF('New students'!A147="","","Tap Sign in, type your period and number, then sign in with your school Google account.")</f>
        <v/>
      </c>
    </row>
    <row r="365" ht="10" customHeight="1">
      <c r="A365" s="12" t="n"/>
      <c r="B365" s="14" t="n"/>
      <c r="C365" s="14" t="n"/>
      <c r="E365" s="12" t="n"/>
      <c r="F365" s="14" t="n"/>
      <c r="G365" s="14" t="n"/>
    </row>
    <row r="366" ht="24" customHeight="1">
      <c r="A366" s="9">
        <f>IF('New students'!A148="","",'New students'!A148)</f>
        <v/>
      </c>
      <c r="E366" s="9">
        <f>IF('New students'!A149="","",'New students'!A149)</f>
        <v/>
      </c>
    </row>
    <row r="367" ht="24" customHeight="1">
      <c r="A367" s="10">
        <f>IF('New students'!A148="","","Period "&amp;'New students'!B148&amp;"   ·   Student number "&amp;'New students'!C148)</f>
        <v/>
      </c>
      <c r="E367" s="10">
        <f>IF('New students'!A149="","","Period "&amp;'New students'!B149&amp;"   ·   Student number "&amp;'New students'!C149)</f>
        <v/>
      </c>
    </row>
    <row r="368" ht="18" customHeight="1">
      <c r="A368" s="11">
        <f>IF('New students'!A148="","","Open: "&amp;Settings!$B$1)</f>
        <v/>
      </c>
      <c r="E368" s="11">
        <f>IF('New students'!A149="","","Open: "&amp;Settings!$B$1)</f>
        <v/>
      </c>
    </row>
    <row r="369" ht="30" customHeight="1">
      <c r="A369" s="11">
        <f>IF('New students'!A148="","","Tap Sign in, type your period and number, then sign in with your school Google account.")</f>
        <v/>
      </c>
      <c r="E369" s="11">
        <f>IF('New students'!A149="","","Tap Sign in, type your period and number, then sign in with your school Google account.")</f>
        <v/>
      </c>
    </row>
    <row r="370" ht="10" customHeight="1">
      <c r="A370" s="12" t="n"/>
      <c r="B370" s="14" t="n"/>
      <c r="C370" s="14" t="n"/>
      <c r="E370" s="12" t="n"/>
      <c r="F370" s="14" t="n"/>
      <c r="G370" s="14" t="n"/>
    </row>
    <row r="371" ht="24" customHeight="1">
      <c r="A371" s="9">
        <f>IF('New students'!A150="","",'New students'!A150)</f>
        <v/>
      </c>
      <c r="E371" s="9">
        <f>IF('New students'!A151="","",'New students'!A151)</f>
        <v/>
      </c>
    </row>
    <row r="372" ht="24" customHeight="1">
      <c r="A372" s="10">
        <f>IF('New students'!A150="","","Period "&amp;'New students'!B150&amp;"   ·   Student number "&amp;'New students'!C150)</f>
        <v/>
      </c>
      <c r="E372" s="10">
        <f>IF('New students'!A151="","","Period "&amp;'New students'!B151&amp;"   ·   Student number "&amp;'New students'!C151)</f>
        <v/>
      </c>
    </row>
    <row r="373" ht="18" customHeight="1">
      <c r="A373" s="11">
        <f>IF('New students'!A150="","","Open: "&amp;Settings!$B$1)</f>
        <v/>
      </c>
      <c r="E373" s="11">
        <f>IF('New students'!A151="","","Open: "&amp;Settings!$B$1)</f>
        <v/>
      </c>
    </row>
    <row r="374" ht="30" customHeight="1">
      <c r="A374" s="11">
        <f>IF('New students'!A150="","","Tap Sign in, type your period and number, then sign in with your school Google account.")</f>
        <v/>
      </c>
      <c r="E374" s="11">
        <f>IF('New students'!A151="","","Tap Sign in, type your period and number, then sign in with your school Google account.")</f>
        <v/>
      </c>
    </row>
    <row r="375" ht="10" customHeight="1">
      <c r="A375" s="12" t="n"/>
      <c r="B375" s="14" t="n"/>
      <c r="C375" s="14" t="n"/>
      <c r="E375" s="12" t="n"/>
      <c r="F375" s="14" t="n"/>
      <c r="G375" s="14" t="n"/>
    </row>
  </sheetData>
  <mergeCells count="750">
    <mergeCell ref="A128:C128"/>
    <mergeCell ref="E161:G161"/>
    <mergeCell ref="A255:C255"/>
    <mergeCell ref="E288:G288"/>
    <mergeCell ref="A326:C326"/>
    <mergeCell ref="A364:C364"/>
    <mergeCell ref="A136:C136"/>
    <mergeCell ref="A21:C21"/>
    <mergeCell ref="A192:C192"/>
    <mergeCell ref="A57:C57"/>
    <mergeCell ref="A113:C113"/>
    <mergeCell ref="A23:C23"/>
    <mergeCell ref="A194:C194"/>
    <mergeCell ref="A181:C181"/>
    <mergeCell ref="E250:G250"/>
    <mergeCell ref="E237:G237"/>
    <mergeCell ref="E212:G212"/>
    <mergeCell ref="E16:G16"/>
    <mergeCell ref="A52:C52"/>
    <mergeCell ref="E301:G301"/>
    <mergeCell ref="E239:G239"/>
    <mergeCell ref="E214:G214"/>
    <mergeCell ref="E18:G18"/>
    <mergeCell ref="E285:G285"/>
    <mergeCell ref="A352:C352"/>
    <mergeCell ref="A34:C34"/>
    <mergeCell ref="A83:C83"/>
    <mergeCell ref="A270:C270"/>
    <mergeCell ref="A368:C368"/>
    <mergeCell ref="E278:G278"/>
    <mergeCell ref="A49:C49"/>
    <mergeCell ref="A110:C110"/>
    <mergeCell ref="E372:G372"/>
    <mergeCell ref="A334:C334"/>
    <mergeCell ref="E92:G92"/>
    <mergeCell ref="E293:G293"/>
    <mergeCell ref="A370:C370"/>
    <mergeCell ref="E138:G138"/>
    <mergeCell ref="A174:C174"/>
    <mergeCell ref="A205:C205"/>
    <mergeCell ref="E374:G374"/>
    <mergeCell ref="E230:G230"/>
    <mergeCell ref="E205:G205"/>
    <mergeCell ref="A118:C118"/>
    <mergeCell ref="E69:G69"/>
    <mergeCell ref="A238:C238"/>
    <mergeCell ref="E311:G311"/>
    <mergeCell ref="E367:G367"/>
    <mergeCell ref="E167:G167"/>
    <mergeCell ref="A55:C55"/>
    <mergeCell ref="E232:G232"/>
    <mergeCell ref="E354:G354"/>
    <mergeCell ref="E6:G6"/>
    <mergeCell ref="E77:G77"/>
    <mergeCell ref="E133:G133"/>
    <mergeCell ref="E304:G304"/>
    <mergeCell ref="E369:G369"/>
    <mergeCell ref="E169:G169"/>
    <mergeCell ref="E225:G225"/>
    <mergeCell ref="A263:C263"/>
    <mergeCell ref="E296:G296"/>
    <mergeCell ref="E356:G356"/>
    <mergeCell ref="E306:G306"/>
    <mergeCell ref="E162:G162"/>
    <mergeCell ref="A29:C29"/>
    <mergeCell ref="A4:C4"/>
    <mergeCell ref="A200:C200"/>
    <mergeCell ref="E227:G227"/>
    <mergeCell ref="A265:C265"/>
    <mergeCell ref="A121:C121"/>
    <mergeCell ref="E72:G72"/>
    <mergeCell ref="A357:C357"/>
    <mergeCell ref="A44:C44"/>
    <mergeCell ref="E164:G164"/>
    <mergeCell ref="A31:C31"/>
    <mergeCell ref="A202:C202"/>
    <mergeCell ref="A58:C58"/>
    <mergeCell ref="A258:C258"/>
    <mergeCell ref="A329:C329"/>
    <mergeCell ref="E258:G258"/>
    <mergeCell ref="A24:C24"/>
    <mergeCell ref="A73:C73"/>
    <mergeCell ref="A266:C266"/>
    <mergeCell ref="A260:C260"/>
    <mergeCell ref="E24:G24"/>
    <mergeCell ref="A60:C60"/>
    <mergeCell ref="E195:G195"/>
    <mergeCell ref="E322:G322"/>
    <mergeCell ref="A358:C358"/>
    <mergeCell ref="E309:G309"/>
    <mergeCell ref="A197:C197"/>
    <mergeCell ref="E17:G17"/>
    <mergeCell ref="E88:G88"/>
    <mergeCell ref="A124:C124"/>
    <mergeCell ref="E259:G259"/>
    <mergeCell ref="E82:G82"/>
    <mergeCell ref="E253:G253"/>
    <mergeCell ref="E153:G153"/>
    <mergeCell ref="E324:G324"/>
    <mergeCell ref="E180:G180"/>
    <mergeCell ref="A360:C360"/>
    <mergeCell ref="E240:G240"/>
    <mergeCell ref="E1:G1"/>
    <mergeCell ref="E19:G19"/>
    <mergeCell ref="A84:C84"/>
    <mergeCell ref="A149:C149"/>
    <mergeCell ref="E65:G65"/>
    <mergeCell ref="E182:G182"/>
    <mergeCell ref="E363:G363"/>
    <mergeCell ref="A50:C50"/>
    <mergeCell ref="E319:G319"/>
    <mergeCell ref="A86:C86"/>
    <mergeCell ref="A42:C42"/>
    <mergeCell ref="A213:C213"/>
    <mergeCell ref="A151:C151"/>
    <mergeCell ref="A188:C188"/>
    <mergeCell ref="A126:C126"/>
    <mergeCell ref="A150:C150"/>
    <mergeCell ref="A144:C144"/>
    <mergeCell ref="E375:G375"/>
    <mergeCell ref="E179:G179"/>
    <mergeCell ref="A215:C215"/>
    <mergeCell ref="A190:C190"/>
    <mergeCell ref="A152:C152"/>
    <mergeCell ref="E246:G246"/>
    <mergeCell ref="E233:G233"/>
    <mergeCell ref="E37:G37"/>
    <mergeCell ref="E208:G208"/>
    <mergeCell ref="E12:G12"/>
    <mergeCell ref="E248:G248"/>
    <mergeCell ref="E297:G297"/>
    <mergeCell ref="E272:G272"/>
    <mergeCell ref="E235:G235"/>
    <mergeCell ref="E210:G210"/>
    <mergeCell ref="E247:G247"/>
    <mergeCell ref="E14:G14"/>
    <mergeCell ref="E185:G185"/>
    <mergeCell ref="A291:C291"/>
    <mergeCell ref="E312:G312"/>
    <mergeCell ref="A79:C79"/>
    <mergeCell ref="E299:G299"/>
    <mergeCell ref="A70:C70"/>
    <mergeCell ref="A355:C355"/>
    <mergeCell ref="E314:G314"/>
    <mergeCell ref="A137:C137"/>
    <mergeCell ref="A330:C330"/>
    <mergeCell ref="A268:C268"/>
    <mergeCell ref="A366:C366"/>
    <mergeCell ref="A74:C74"/>
    <mergeCell ref="A145:C145"/>
    <mergeCell ref="A139:C139"/>
    <mergeCell ref="E201:G201"/>
    <mergeCell ref="E90:G90"/>
    <mergeCell ref="E261:G261"/>
    <mergeCell ref="A76:C76"/>
    <mergeCell ref="A203:C203"/>
    <mergeCell ref="A374:C374"/>
    <mergeCell ref="E27:G27"/>
    <mergeCell ref="E154:G154"/>
    <mergeCell ref="E325:G325"/>
    <mergeCell ref="A361:C361"/>
    <mergeCell ref="E119:G119"/>
    <mergeCell ref="A140:C140"/>
    <mergeCell ref="A311:C311"/>
    <mergeCell ref="E91:G91"/>
    <mergeCell ref="E25:G25"/>
    <mergeCell ref="E196:G196"/>
    <mergeCell ref="E85:G85"/>
    <mergeCell ref="E256:G256"/>
    <mergeCell ref="E327:G327"/>
    <mergeCell ref="E183:G183"/>
    <mergeCell ref="E302:G302"/>
    <mergeCell ref="E93:G93"/>
    <mergeCell ref="E198:G198"/>
    <mergeCell ref="A92:C92"/>
    <mergeCell ref="A279:C279"/>
    <mergeCell ref="A350:C350"/>
    <mergeCell ref="A300:C300"/>
    <mergeCell ref="A45:C45"/>
    <mergeCell ref="A94:C94"/>
    <mergeCell ref="A216:C216"/>
    <mergeCell ref="A287:C287"/>
    <mergeCell ref="A343:C343"/>
    <mergeCell ref="A281:C281"/>
    <mergeCell ref="E343:G343"/>
    <mergeCell ref="A87:C87"/>
    <mergeCell ref="A218:C218"/>
    <mergeCell ref="E38:G38"/>
    <mergeCell ref="A345:C345"/>
    <mergeCell ref="E280:G280"/>
    <mergeCell ref="A316:C316"/>
    <mergeCell ref="E274:G274"/>
    <mergeCell ref="A193:C193"/>
    <mergeCell ref="E13:G13"/>
    <mergeCell ref="A46:C46"/>
    <mergeCell ref="E249:G249"/>
    <mergeCell ref="A89:C89"/>
    <mergeCell ref="A282:C282"/>
    <mergeCell ref="E40:G40"/>
    <mergeCell ref="E338:G338"/>
    <mergeCell ref="A105:C105"/>
    <mergeCell ref="E15:G15"/>
    <mergeCell ref="A26:C26"/>
    <mergeCell ref="E186:G186"/>
    <mergeCell ref="E257:G257"/>
    <mergeCell ref="A71:C71"/>
    <mergeCell ref="E104:G104"/>
    <mergeCell ref="A313:C313"/>
    <mergeCell ref="A307:C307"/>
    <mergeCell ref="E340:G340"/>
    <mergeCell ref="A234:C234"/>
    <mergeCell ref="E315:G315"/>
    <mergeCell ref="A184:C184"/>
    <mergeCell ref="A371:C371"/>
    <mergeCell ref="A171:C171"/>
    <mergeCell ref="A165:C165"/>
    <mergeCell ref="E81:G81"/>
    <mergeCell ref="A173:C173"/>
    <mergeCell ref="A229:C229"/>
    <mergeCell ref="A77:C77"/>
    <mergeCell ref="A148:C148"/>
    <mergeCell ref="E106:G106"/>
    <mergeCell ref="E204:G204"/>
    <mergeCell ref="A6:C6"/>
    <mergeCell ref="E141:G141"/>
    <mergeCell ref="E135:G135"/>
    <mergeCell ref="E35:G35"/>
    <mergeCell ref="E206:G206"/>
    <mergeCell ref="E262:G262"/>
    <mergeCell ref="E328:G328"/>
    <mergeCell ref="E107:G107"/>
    <mergeCell ref="E143:G143"/>
    <mergeCell ref="E28:G28"/>
    <mergeCell ref="A66:C66"/>
    <mergeCell ref="A351:C351"/>
    <mergeCell ref="A120:C120"/>
    <mergeCell ref="A3:C3"/>
    <mergeCell ref="E30:G30"/>
    <mergeCell ref="A301:C301"/>
    <mergeCell ref="A239:C239"/>
    <mergeCell ref="E59:G59"/>
    <mergeCell ref="A95:C95"/>
    <mergeCell ref="A160:C160"/>
    <mergeCell ref="E46:G46"/>
    <mergeCell ref="A331:C331"/>
    <mergeCell ref="A5:C5"/>
    <mergeCell ref="A32:C32"/>
    <mergeCell ref="A303:C303"/>
    <mergeCell ref="A159:C159"/>
    <mergeCell ref="E61:G61"/>
    <mergeCell ref="A97:C97"/>
    <mergeCell ref="A219:C219"/>
    <mergeCell ref="A224:C224"/>
    <mergeCell ref="A290:C290"/>
    <mergeCell ref="E359:G359"/>
    <mergeCell ref="E346:G346"/>
    <mergeCell ref="A96:C96"/>
    <mergeCell ref="E54:G54"/>
    <mergeCell ref="E321:G321"/>
    <mergeCell ref="E125:G125"/>
    <mergeCell ref="A161:C161"/>
    <mergeCell ref="A332:C332"/>
    <mergeCell ref="A288:C288"/>
    <mergeCell ref="E41:G41"/>
    <mergeCell ref="E112:G112"/>
    <mergeCell ref="E217:G217"/>
    <mergeCell ref="E283:G283"/>
    <mergeCell ref="E277:G277"/>
    <mergeCell ref="E348:G348"/>
    <mergeCell ref="E56:G56"/>
    <mergeCell ref="E323:G323"/>
    <mergeCell ref="E43:G43"/>
    <mergeCell ref="E341:G341"/>
    <mergeCell ref="E129:G129"/>
    <mergeCell ref="E181:G181"/>
    <mergeCell ref="A123:C123"/>
    <mergeCell ref="A250:C250"/>
    <mergeCell ref="E131:G131"/>
    <mergeCell ref="A237:C237"/>
    <mergeCell ref="A212:C212"/>
    <mergeCell ref="A16:C16"/>
    <mergeCell ref="A187:C187"/>
    <mergeCell ref="A108:C108"/>
    <mergeCell ref="E295:G295"/>
    <mergeCell ref="A214:C214"/>
    <mergeCell ref="A18:C18"/>
    <mergeCell ref="E34:G34"/>
    <mergeCell ref="E9:G9"/>
    <mergeCell ref="A189:C189"/>
    <mergeCell ref="E276:G276"/>
    <mergeCell ref="E270:G270"/>
    <mergeCell ref="A306:C306"/>
    <mergeCell ref="A278:C278"/>
    <mergeCell ref="E36:G36"/>
    <mergeCell ref="E11:G11"/>
    <mergeCell ref="A47:C47"/>
    <mergeCell ref="E207:G207"/>
    <mergeCell ref="E334:G334"/>
    <mergeCell ref="A22:C22"/>
    <mergeCell ref="E113:G113"/>
    <mergeCell ref="E100:G100"/>
    <mergeCell ref="E271:G271"/>
    <mergeCell ref="E336:G336"/>
    <mergeCell ref="E136:G136"/>
    <mergeCell ref="A134:C134"/>
    <mergeCell ref="E115:G115"/>
    <mergeCell ref="E102:G102"/>
    <mergeCell ref="E273:G273"/>
    <mergeCell ref="A167:C167"/>
    <mergeCell ref="A182:C182"/>
    <mergeCell ref="A304:C304"/>
    <mergeCell ref="E62:G62"/>
    <mergeCell ref="A98:C98"/>
    <mergeCell ref="A169:C169"/>
    <mergeCell ref="A225:C225"/>
    <mergeCell ref="E127:G127"/>
    <mergeCell ref="E347:G347"/>
    <mergeCell ref="E4:G4"/>
    <mergeCell ref="A162:C162"/>
    <mergeCell ref="E64:G64"/>
    <mergeCell ref="A227:C227"/>
    <mergeCell ref="E362:G362"/>
    <mergeCell ref="E51:G51"/>
    <mergeCell ref="E156:G156"/>
    <mergeCell ref="E349:G349"/>
    <mergeCell ref="A177:C177"/>
    <mergeCell ref="E128:G128"/>
    <mergeCell ref="A164:C164"/>
    <mergeCell ref="E155:G155"/>
    <mergeCell ref="A335:C335"/>
    <mergeCell ref="E364:G364"/>
    <mergeCell ref="E220:G220"/>
    <mergeCell ref="E291:G291"/>
    <mergeCell ref="E157:G157"/>
    <mergeCell ref="A195:C195"/>
    <mergeCell ref="A251:C251"/>
    <mergeCell ref="E284:G284"/>
    <mergeCell ref="E222:G222"/>
    <mergeCell ref="A322:C322"/>
    <mergeCell ref="A116:C116"/>
    <mergeCell ref="A309:C309"/>
    <mergeCell ref="E197:G197"/>
    <mergeCell ref="A17:C17"/>
    <mergeCell ref="A259:C259"/>
    <mergeCell ref="A253:C253"/>
    <mergeCell ref="A53:C53"/>
    <mergeCell ref="A109:C109"/>
    <mergeCell ref="E286:G286"/>
    <mergeCell ref="A180:C180"/>
    <mergeCell ref="A324:C324"/>
    <mergeCell ref="A240:C240"/>
    <mergeCell ref="A19:C19"/>
    <mergeCell ref="A68:C68"/>
    <mergeCell ref="A117:C117"/>
    <mergeCell ref="E75:G75"/>
    <mergeCell ref="A111:C111"/>
    <mergeCell ref="E146:G146"/>
    <mergeCell ref="E317:G317"/>
    <mergeCell ref="A353:C353"/>
    <mergeCell ref="E50:G50"/>
    <mergeCell ref="A328:C328"/>
    <mergeCell ref="E298:G298"/>
    <mergeCell ref="A48:C48"/>
    <mergeCell ref="A319:C319"/>
    <mergeCell ref="E344:G344"/>
    <mergeCell ref="A142:C142"/>
    <mergeCell ref="E175:G175"/>
    <mergeCell ref="E368:G368"/>
    <mergeCell ref="E52:G52"/>
    <mergeCell ref="E150:G150"/>
    <mergeCell ref="E39:G39"/>
    <mergeCell ref="E337:G337"/>
    <mergeCell ref="E373:G373"/>
    <mergeCell ref="E352:G352"/>
    <mergeCell ref="E103:G103"/>
    <mergeCell ref="E152:G152"/>
    <mergeCell ref="E339:G339"/>
    <mergeCell ref="E170:G170"/>
    <mergeCell ref="A233:C233"/>
    <mergeCell ref="A37:C37"/>
    <mergeCell ref="A208:C208"/>
    <mergeCell ref="E118:G118"/>
    <mergeCell ref="A297:C297"/>
    <mergeCell ref="A272:C272"/>
    <mergeCell ref="A235:C235"/>
    <mergeCell ref="A210:C210"/>
    <mergeCell ref="E226:G226"/>
    <mergeCell ref="E370:G370"/>
    <mergeCell ref="A247:C247"/>
    <mergeCell ref="A185:C185"/>
    <mergeCell ref="E57:G57"/>
    <mergeCell ref="E228:G228"/>
    <mergeCell ref="E355:G355"/>
    <mergeCell ref="E7:G7"/>
    <mergeCell ref="A43:C43"/>
    <mergeCell ref="E172:G172"/>
    <mergeCell ref="E305:G305"/>
    <mergeCell ref="E243:G243"/>
    <mergeCell ref="E365:G365"/>
    <mergeCell ref="E292:G292"/>
    <mergeCell ref="A63:C63"/>
    <mergeCell ref="E307:G307"/>
    <mergeCell ref="E58:G58"/>
    <mergeCell ref="A130:C130"/>
    <mergeCell ref="E223:G223"/>
    <mergeCell ref="A261:C261"/>
    <mergeCell ref="E294:G294"/>
    <mergeCell ref="A138:C138"/>
    <mergeCell ref="A132:C132"/>
    <mergeCell ref="E165:G165"/>
    <mergeCell ref="A325:C325"/>
    <mergeCell ref="E83:G83"/>
    <mergeCell ref="A119:C119"/>
    <mergeCell ref="E254:G254"/>
    <mergeCell ref="A69:C69"/>
    <mergeCell ref="A196:C196"/>
    <mergeCell ref="A367:C367"/>
    <mergeCell ref="A256:C256"/>
    <mergeCell ref="E20:G20"/>
    <mergeCell ref="A183:C183"/>
    <mergeCell ref="E318:G318"/>
    <mergeCell ref="A354:C354"/>
    <mergeCell ref="A133:C133"/>
    <mergeCell ref="E60:G60"/>
    <mergeCell ref="E177:G177"/>
    <mergeCell ref="A264:C264"/>
    <mergeCell ref="A198:C198"/>
    <mergeCell ref="E84:G84"/>
    <mergeCell ref="A369:C369"/>
    <mergeCell ref="E78:G78"/>
    <mergeCell ref="E149:G149"/>
    <mergeCell ref="E320:G320"/>
    <mergeCell ref="E176:G176"/>
    <mergeCell ref="A356:C356"/>
    <mergeCell ref="E114:G114"/>
    <mergeCell ref="E241:G241"/>
    <mergeCell ref="E360:G360"/>
    <mergeCell ref="E86:G86"/>
    <mergeCell ref="E191:G191"/>
    <mergeCell ref="E80:G80"/>
    <mergeCell ref="E178:G178"/>
    <mergeCell ref="E144:G144"/>
    <mergeCell ref="A38:C38"/>
    <mergeCell ref="A209:C209"/>
    <mergeCell ref="A147:C147"/>
    <mergeCell ref="A280:C280"/>
    <mergeCell ref="A274:C274"/>
    <mergeCell ref="A13:C13"/>
    <mergeCell ref="A372:C372"/>
    <mergeCell ref="A249:C249"/>
    <mergeCell ref="A40:C40"/>
    <mergeCell ref="A211:C211"/>
    <mergeCell ref="A67:C67"/>
    <mergeCell ref="A338:C338"/>
    <mergeCell ref="E267:G267"/>
    <mergeCell ref="A15:C15"/>
    <mergeCell ref="A186:C186"/>
    <mergeCell ref="A257:C257"/>
    <mergeCell ref="A51:C51"/>
    <mergeCell ref="E71:G71"/>
    <mergeCell ref="A82:C82"/>
    <mergeCell ref="E313:G313"/>
    <mergeCell ref="A275:C275"/>
    <mergeCell ref="A349:C349"/>
    <mergeCell ref="E33:G33"/>
    <mergeCell ref="A340:C340"/>
    <mergeCell ref="E269:G269"/>
    <mergeCell ref="E8:G8"/>
    <mergeCell ref="A315:C315"/>
    <mergeCell ref="E79:G79"/>
    <mergeCell ref="A146:C146"/>
    <mergeCell ref="E73:G73"/>
    <mergeCell ref="E244:G244"/>
    <mergeCell ref="E371:G371"/>
    <mergeCell ref="E171:G171"/>
    <mergeCell ref="E231:G231"/>
    <mergeCell ref="E358:G358"/>
    <mergeCell ref="E333:G333"/>
    <mergeCell ref="A252:C252"/>
    <mergeCell ref="E10:G10"/>
    <mergeCell ref="E137:G137"/>
    <mergeCell ref="E308:G308"/>
    <mergeCell ref="E173:G173"/>
    <mergeCell ref="A158:C158"/>
    <mergeCell ref="E74:G74"/>
    <mergeCell ref="E245:G245"/>
    <mergeCell ref="E310:G310"/>
    <mergeCell ref="E166:G166"/>
    <mergeCell ref="A204:C204"/>
    <mergeCell ref="A141:C141"/>
    <mergeCell ref="A135:C135"/>
    <mergeCell ref="E168:G168"/>
    <mergeCell ref="A206:C206"/>
    <mergeCell ref="A262:C262"/>
    <mergeCell ref="A62:C62"/>
    <mergeCell ref="A122:C122"/>
    <mergeCell ref="A72:C72"/>
    <mergeCell ref="A28:C28"/>
    <mergeCell ref="A199:C199"/>
    <mergeCell ref="E199:G199"/>
    <mergeCell ref="E255:G255"/>
    <mergeCell ref="E326:G326"/>
    <mergeCell ref="A362:C362"/>
    <mergeCell ref="E242:G242"/>
    <mergeCell ref="E361:G361"/>
    <mergeCell ref="A30:C30"/>
    <mergeCell ref="E21:G21"/>
    <mergeCell ref="E192:G192"/>
    <mergeCell ref="A59:C59"/>
    <mergeCell ref="E263:G263"/>
    <mergeCell ref="E219:G219"/>
    <mergeCell ref="E23:G23"/>
    <mergeCell ref="E194:G194"/>
    <mergeCell ref="A61:C61"/>
    <mergeCell ref="A88:C88"/>
    <mergeCell ref="A359:C359"/>
    <mergeCell ref="A153:C153"/>
    <mergeCell ref="A346:C346"/>
    <mergeCell ref="A54:C54"/>
    <mergeCell ref="E87:G87"/>
    <mergeCell ref="A41:C41"/>
    <mergeCell ref="A90:C90"/>
    <mergeCell ref="A283:C283"/>
    <mergeCell ref="A217:C217"/>
    <mergeCell ref="A277:C277"/>
    <mergeCell ref="A375:C375"/>
    <mergeCell ref="A56:C56"/>
    <mergeCell ref="A27:C27"/>
    <mergeCell ref="A154:C154"/>
    <mergeCell ref="E252:G252"/>
    <mergeCell ref="A285:C285"/>
    <mergeCell ref="A341:C341"/>
    <mergeCell ref="E105:G105"/>
    <mergeCell ref="A129:C129"/>
    <mergeCell ref="E99:G99"/>
    <mergeCell ref="E366:G366"/>
    <mergeCell ref="E49:G49"/>
    <mergeCell ref="A85:C85"/>
    <mergeCell ref="E316:G316"/>
    <mergeCell ref="E110:G110"/>
    <mergeCell ref="E163:G163"/>
    <mergeCell ref="A131:C131"/>
    <mergeCell ref="E101:G101"/>
    <mergeCell ref="E187:G187"/>
    <mergeCell ref="E76:G76"/>
    <mergeCell ref="E174:G174"/>
    <mergeCell ref="A230:C230"/>
    <mergeCell ref="E251:G251"/>
    <mergeCell ref="E189:G189"/>
    <mergeCell ref="A295:C295"/>
    <mergeCell ref="E238:G238"/>
    <mergeCell ref="A9:C9"/>
    <mergeCell ref="A143:C143"/>
    <mergeCell ref="A276:C276"/>
    <mergeCell ref="A232:C232"/>
    <mergeCell ref="A36:C36"/>
    <mergeCell ref="A11:C11"/>
    <mergeCell ref="A207:C207"/>
    <mergeCell ref="A1:C1"/>
    <mergeCell ref="A296:C296"/>
    <mergeCell ref="A78:C78"/>
    <mergeCell ref="A271:C271"/>
    <mergeCell ref="A65:C65"/>
    <mergeCell ref="E29:G29"/>
    <mergeCell ref="E200:G200"/>
    <mergeCell ref="A363:C363"/>
    <mergeCell ref="E94:G94"/>
    <mergeCell ref="E265:G265"/>
    <mergeCell ref="A80:C80"/>
    <mergeCell ref="A273:C273"/>
    <mergeCell ref="E31:G31"/>
    <mergeCell ref="E202:G202"/>
    <mergeCell ref="E158:G158"/>
    <mergeCell ref="E329:G329"/>
    <mergeCell ref="A365:C365"/>
    <mergeCell ref="E108:G108"/>
    <mergeCell ref="A179:C179"/>
    <mergeCell ref="E95:G95"/>
    <mergeCell ref="E266:G266"/>
    <mergeCell ref="A302:C302"/>
    <mergeCell ref="E89:G89"/>
    <mergeCell ref="E260:G260"/>
    <mergeCell ref="A298:C298"/>
    <mergeCell ref="E331:G331"/>
    <mergeCell ref="E26:G26"/>
    <mergeCell ref="A91:C91"/>
    <mergeCell ref="E124:G124"/>
    <mergeCell ref="E120:G120"/>
    <mergeCell ref="A156:C156"/>
    <mergeCell ref="A327:C327"/>
    <mergeCell ref="A299:C299"/>
    <mergeCell ref="A155:C155"/>
    <mergeCell ref="A293:C293"/>
    <mergeCell ref="A93:C93"/>
    <mergeCell ref="E184:G184"/>
    <mergeCell ref="A220:C220"/>
    <mergeCell ref="E342:G342"/>
    <mergeCell ref="E121:G121"/>
    <mergeCell ref="A157:C157"/>
    <mergeCell ref="A284:C284"/>
    <mergeCell ref="A222:C222"/>
    <mergeCell ref="E357:G357"/>
    <mergeCell ref="E42:G42"/>
    <mergeCell ref="E213:G213"/>
    <mergeCell ref="E151:G151"/>
    <mergeCell ref="E188:G188"/>
    <mergeCell ref="E126:G126"/>
    <mergeCell ref="E123:G123"/>
    <mergeCell ref="E44:G44"/>
    <mergeCell ref="E215:G215"/>
    <mergeCell ref="E190:G190"/>
    <mergeCell ref="A75:C75"/>
    <mergeCell ref="A246:C246"/>
    <mergeCell ref="E279:G279"/>
    <mergeCell ref="A317:C317"/>
    <mergeCell ref="A12:C12"/>
    <mergeCell ref="A248:C248"/>
    <mergeCell ref="A104:C104"/>
    <mergeCell ref="A175:C175"/>
    <mergeCell ref="A321:C321"/>
    <mergeCell ref="A14:C14"/>
    <mergeCell ref="A312:C312"/>
    <mergeCell ref="E70:G70"/>
    <mergeCell ref="A106:C106"/>
    <mergeCell ref="A373:C373"/>
    <mergeCell ref="A81:C81"/>
    <mergeCell ref="A323:C323"/>
    <mergeCell ref="E32:G32"/>
    <mergeCell ref="E159:G159"/>
    <mergeCell ref="E134:G134"/>
    <mergeCell ref="E97:G97"/>
    <mergeCell ref="A170:C170"/>
    <mergeCell ref="E268:G268"/>
    <mergeCell ref="E330:G330"/>
    <mergeCell ref="A289:C289"/>
    <mergeCell ref="E109:G109"/>
    <mergeCell ref="E47:G47"/>
    <mergeCell ref="E96:G96"/>
    <mergeCell ref="E145:G145"/>
    <mergeCell ref="E139:G139"/>
    <mergeCell ref="E332:G332"/>
    <mergeCell ref="A226:C226"/>
    <mergeCell ref="A201:C201"/>
    <mergeCell ref="E111:G111"/>
    <mergeCell ref="E98:G98"/>
    <mergeCell ref="E203:G203"/>
    <mergeCell ref="A241:C241"/>
    <mergeCell ref="A228:C228"/>
    <mergeCell ref="E140:G140"/>
    <mergeCell ref="A7:C7"/>
    <mergeCell ref="A172:C172"/>
    <mergeCell ref="A305:C305"/>
    <mergeCell ref="A243:C243"/>
    <mergeCell ref="E63:G63"/>
    <mergeCell ref="A25:C25"/>
    <mergeCell ref="A99:C99"/>
    <mergeCell ref="A221:C221"/>
    <mergeCell ref="A292:C292"/>
    <mergeCell ref="A286:C286"/>
    <mergeCell ref="E221:G221"/>
    <mergeCell ref="A236:C236"/>
    <mergeCell ref="A163:C163"/>
    <mergeCell ref="A101:C101"/>
    <mergeCell ref="A223:C223"/>
    <mergeCell ref="A294:C294"/>
    <mergeCell ref="A2:C2"/>
    <mergeCell ref="E350:G350"/>
    <mergeCell ref="E2:G2"/>
    <mergeCell ref="E300:G300"/>
    <mergeCell ref="E45:G45"/>
    <mergeCell ref="E216:G216"/>
    <mergeCell ref="E116:G116"/>
    <mergeCell ref="A254:C254"/>
    <mergeCell ref="E287:G287"/>
    <mergeCell ref="E281:G281"/>
    <mergeCell ref="A20:C20"/>
    <mergeCell ref="A125:C125"/>
    <mergeCell ref="E218:G218"/>
    <mergeCell ref="A318:C318"/>
    <mergeCell ref="E345:G345"/>
    <mergeCell ref="A112:C112"/>
    <mergeCell ref="E22:G22"/>
    <mergeCell ref="E193:G193"/>
    <mergeCell ref="E264:G264"/>
    <mergeCell ref="A348:C348"/>
    <mergeCell ref="A127:C127"/>
    <mergeCell ref="E282:G282"/>
    <mergeCell ref="A320:C320"/>
    <mergeCell ref="A176:C176"/>
    <mergeCell ref="A314:C314"/>
    <mergeCell ref="A114:C114"/>
    <mergeCell ref="A347:C347"/>
    <mergeCell ref="E122:G122"/>
    <mergeCell ref="A64:C64"/>
    <mergeCell ref="A191:C191"/>
    <mergeCell ref="A107:C107"/>
    <mergeCell ref="E142:G142"/>
    <mergeCell ref="A178:C178"/>
    <mergeCell ref="E234:G234"/>
    <mergeCell ref="E209:G209"/>
    <mergeCell ref="E147:G147"/>
    <mergeCell ref="E236:G236"/>
    <mergeCell ref="E211:G211"/>
    <mergeCell ref="E229:G229"/>
    <mergeCell ref="A267:C267"/>
    <mergeCell ref="E148:G148"/>
    <mergeCell ref="A242:C242"/>
    <mergeCell ref="E275:G275"/>
    <mergeCell ref="E335:G335"/>
    <mergeCell ref="A33:C33"/>
    <mergeCell ref="A269:C269"/>
    <mergeCell ref="A8:C8"/>
    <mergeCell ref="A244:C244"/>
    <mergeCell ref="A100:C100"/>
    <mergeCell ref="A342:C342"/>
    <mergeCell ref="A231:C231"/>
    <mergeCell ref="A35:C35"/>
    <mergeCell ref="A336:C336"/>
    <mergeCell ref="A333:C333"/>
    <mergeCell ref="A10:C10"/>
    <mergeCell ref="A115:C115"/>
    <mergeCell ref="A308:C308"/>
    <mergeCell ref="E66:G66"/>
    <mergeCell ref="A102:C102"/>
    <mergeCell ref="A344:C344"/>
    <mergeCell ref="E53:G53"/>
    <mergeCell ref="E351:G351"/>
    <mergeCell ref="A245:C245"/>
    <mergeCell ref="E289:G289"/>
    <mergeCell ref="E3:G3"/>
    <mergeCell ref="A39:C39"/>
    <mergeCell ref="A310:C310"/>
    <mergeCell ref="E130:G130"/>
    <mergeCell ref="A166:C166"/>
    <mergeCell ref="E68:G68"/>
    <mergeCell ref="A337:C337"/>
    <mergeCell ref="E117:G117"/>
    <mergeCell ref="E55:G55"/>
    <mergeCell ref="E160:G160"/>
    <mergeCell ref="E353:G353"/>
    <mergeCell ref="E67:G67"/>
    <mergeCell ref="A103:C103"/>
    <mergeCell ref="E5:G5"/>
    <mergeCell ref="E132:G132"/>
    <mergeCell ref="A168:C168"/>
    <mergeCell ref="E303:G303"/>
    <mergeCell ref="A339:C339"/>
    <mergeCell ref="E48:G48"/>
    <mergeCell ref="E290:G290"/>
    <mergeCell ref="E224:G224"/>
  </mergeCells>
  <pageMargins left="0.4" right="0.4" top="0.4" bottom="0.4" header="0.5" footer="0.5"/>
  <pageSetup orientation="portrait" paperSize="1" fitToHeight="0" fitToWidth="1"/>
  <rowBreaks count="10" manualBreakCount="10">
    <brk id="35" min="0" max="16383" man="1"/>
    <brk id="70" min="0" max="16383" man="1"/>
    <brk id="105" min="0" max="16383" man="1"/>
    <brk id="140" min="0" max="16383" man="1"/>
    <brk id="175" min="0" max="16383" man="1"/>
    <brk id="210" min="0" max="16383" man="1"/>
    <brk id="245" min="0" max="16383" man="1"/>
    <brk id="280" min="0" max="16383" man="1"/>
    <brk id="315" min="0" max="16383" man="1"/>
    <brk id="350" min="0" max="16383" man="1"/>
  </rowBreaks>
</worksheet>
</file>

<file path=xl/worksheets/sheet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f>IF(Settings!B2="","",IMPORTRANGE(Settings!B2,"Summary!A1:I151"))</f>
        <v/>
      </c>
      <c r="K1" s="7" t="inlineStr">
        <is>
          <t>The class sheet's Summary, copied in here (read only). Allow access on A1 the first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8" t="inlineStr">
        <is>
          <t>Name</t>
        </is>
      </c>
      <c r="B1" s="8" t="inlineStr">
        <is>
          <t>Period</t>
        </is>
      </c>
      <c r="C1" s="8" t="inlineStr">
        <is>
          <t>Student number</t>
        </is>
      </c>
      <c r="D1" s="8" t="inlineStr">
        <is>
          <t>Levels done</t>
        </is>
      </c>
      <c r="E1" s="8" t="inlineStr">
        <is>
          <t>Problems tried</t>
        </is>
      </c>
      <c r="F1" s="8" t="inlineStr">
        <is>
          <t>Clean %</t>
        </is>
      </c>
      <c r="G1" s="8" t="inlineStr">
        <is>
          <t>Stuck presses</t>
        </is>
      </c>
      <c r="H1" s="8" t="inlineStr">
        <is>
          <t>Fluency runs</t>
        </is>
      </c>
    </row>
    <row r="2">
      <c r="A2" s="6">
        <f>IF(Roster!A2="","",Roster!A2)</f>
        <v/>
      </c>
      <c r="B2" s="6">
        <f>IF($A2="","",Roster!B2)</f>
        <v/>
      </c>
      <c r="C2" s="6">
        <f>IF($A2="","",Roster!C2)</f>
        <v/>
      </c>
      <c r="D2" s="6">
        <f>IF($A2="","",IFERROR(SUMIFS(Imported!$D$2:$D$151,Imported!$B$2:$B$151,$B2&amp;"",Imported!$C$2:$C$151,$C2&amp;""),0))</f>
        <v/>
      </c>
      <c r="E2" s="6">
        <f>IF($A2="","",IFERROR(SUMIFS(Imported!$E$2:$E$151,Imported!$B$2:$B$151,$B2&amp;"",Imported!$C$2:$C$151,$C2&amp;""),0))</f>
        <v/>
      </c>
      <c r="F2" s="15">
        <f>IF($A2="","",IFERROR(SUMIFS(Imported!$F$2:$F$151,Imported!$B$2:$B$151,$B2&amp;"",Imported!$C$2:$C$151,$C2&amp;""),0))</f>
        <v/>
      </c>
      <c r="G2" s="6">
        <f>IF($A2="","",IFERROR(SUMIFS(Imported!$G$2:$G$151,Imported!$B$2:$B$151,$B2&amp;"",Imported!$C$2:$C$151,$C2&amp;""),0))</f>
        <v/>
      </c>
      <c r="H2" s="6">
        <f>IF($A2="","",IFERROR(SUMIFS(Imported!$H$2:$H$151,Imported!$B$2:$B$151,$B2&amp;"",Imported!$C$2:$C$151,$C2&amp;""),0))</f>
        <v/>
      </c>
    </row>
    <row r="3">
      <c r="A3" s="6">
        <f>IF(Roster!A3="","",Roster!A3)</f>
        <v/>
      </c>
      <c r="B3" s="6">
        <f>IF($A3="","",Roster!B3)</f>
        <v/>
      </c>
      <c r="C3" s="6">
        <f>IF($A3="","",Roster!C3)</f>
        <v/>
      </c>
      <c r="D3" s="6">
        <f>IF($A3="","",IFERROR(SUMIFS(Imported!$D$2:$D$151,Imported!$B$2:$B$151,$B3&amp;"",Imported!$C$2:$C$151,$C3&amp;""),0))</f>
        <v/>
      </c>
      <c r="E3" s="6">
        <f>IF($A3="","",IFERROR(SUMIFS(Imported!$E$2:$E$151,Imported!$B$2:$B$151,$B3&amp;"",Imported!$C$2:$C$151,$C3&amp;""),0))</f>
        <v/>
      </c>
      <c r="F3" s="15">
        <f>IF($A3="","",IFERROR(SUMIFS(Imported!$F$2:$F$151,Imported!$B$2:$B$151,$B3&amp;"",Imported!$C$2:$C$151,$C3&amp;""),0))</f>
        <v/>
      </c>
      <c r="G3" s="6">
        <f>IF($A3="","",IFERROR(SUMIFS(Imported!$G$2:$G$151,Imported!$B$2:$B$151,$B3&amp;"",Imported!$C$2:$C$151,$C3&amp;""),0))</f>
        <v/>
      </c>
      <c r="H3" s="6">
        <f>IF($A3="","",IFERROR(SUMIFS(Imported!$H$2:$H$151,Imported!$B$2:$B$151,$B3&amp;"",Imported!$C$2:$C$151,$C3&amp;""),0))</f>
        <v/>
      </c>
    </row>
    <row r="4">
      <c r="A4" s="6">
        <f>IF(Roster!A4="","",Roster!A4)</f>
        <v/>
      </c>
      <c r="B4" s="6">
        <f>IF($A4="","",Roster!B4)</f>
        <v/>
      </c>
      <c r="C4" s="6">
        <f>IF($A4="","",Roster!C4)</f>
        <v/>
      </c>
      <c r="D4" s="6">
        <f>IF($A4="","",IFERROR(SUMIFS(Imported!$D$2:$D$151,Imported!$B$2:$B$151,$B4&amp;"",Imported!$C$2:$C$151,$C4&amp;""),0))</f>
        <v/>
      </c>
      <c r="E4" s="6">
        <f>IF($A4="","",IFERROR(SUMIFS(Imported!$E$2:$E$151,Imported!$B$2:$B$151,$B4&amp;"",Imported!$C$2:$C$151,$C4&amp;""),0))</f>
        <v/>
      </c>
      <c r="F4" s="15">
        <f>IF($A4="","",IFERROR(SUMIFS(Imported!$F$2:$F$151,Imported!$B$2:$B$151,$B4&amp;"",Imported!$C$2:$C$151,$C4&amp;""),0))</f>
        <v/>
      </c>
      <c r="G4" s="6">
        <f>IF($A4="","",IFERROR(SUMIFS(Imported!$G$2:$G$151,Imported!$B$2:$B$151,$B4&amp;"",Imported!$C$2:$C$151,$C4&amp;""),0))</f>
        <v/>
      </c>
      <c r="H4" s="6">
        <f>IF($A4="","",IFERROR(SUMIFS(Imported!$H$2:$H$151,Imported!$B$2:$B$151,$B4&amp;"",Imported!$C$2:$C$151,$C4&amp;""),0))</f>
        <v/>
      </c>
    </row>
    <row r="5">
      <c r="A5" s="6">
        <f>IF(Roster!A5="","",Roster!A5)</f>
        <v/>
      </c>
      <c r="B5" s="6">
        <f>IF($A5="","",Roster!B5)</f>
        <v/>
      </c>
      <c r="C5" s="6">
        <f>IF($A5="","",Roster!C5)</f>
        <v/>
      </c>
      <c r="D5" s="6">
        <f>IF($A5="","",IFERROR(SUMIFS(Imported!$D$2:$D$151,Imported!$B$2:$B$151,$B5&amp;"",Imported!$C$2:$C$151,$C5&amp;""),0))</f>
        <v/>
      </c>
      <c r="E5" s="6">
        <f>IF($A5="","",IFERROR(SUMIFS(Imported!$E$2:$E$151,Imported!$B$2:$B$151,$B5&amp;"",Imported!$C$2:$C$151,$C5&amp;""),0))</f>
        <v/>
      </c>
      <c r="F5" s="15">
        <f>IF($A5="","",IFERROR(SUMIFS(Imported!$F$2:$F$151,Imported!$B$2:$B$151,$B5&amp;"",Imported!$C$2:$C$151,$C5&amp;""),0))</f>
        <v/>
      </c>
      <c r="G5" s="6">
        <f>IF($A5="","",IFERROR(SUMIFS(Imported!$G$2:$G$151,Imported!$B$2:$B$151,$B5&amp;"",Imported!$C$2:$C$151,$C5&amp;""),0))</f>
        <v/>
      </c>
      <c r="H5" s="6">
        <f>IF($A5="","",IFERROR(SUMIFS(Imported!$H$2:$H$151,Imported!$B$2:$B$151,$B5&amp;"",Imported!$C$2:$C$151,$C5&amp;""),0))</f>
        <v/>
      </c>
    </row>
    <row r="6">
      <c r="A6" s="6">
        <f>IF(Roster!A6="","",Roster!A6)</f>
        <v/>
      </c>
      <c r="B6" s="6">
        <f>IF($A6="","",Roster!B6)</f>
        <v/>
      </c>
      <c r="C6" s="6">
        <f>IF($A6="","",Roster!C6)</f>
        <v/>
      </c>
      <c r="D6" s="6">
        <f>IF($A6="","",IFERROR(SUMIFS(Imported!$D$2:$D$151,Imported!$B$2:$B$151,$B6&amp;"",Imported!$C$2:$C$151,$C6&amp;""),0))</f>
        <v/>
      </c>
      <c r="E6" s="6">
        <f>IF($A6="","",IFERROR(SUMIFS(Imported!$E$2:$E$151,Imported!$B$2:$B$151,$B6&amp;"",Imported!$C$2:$C$151,$C6&amp;""),0))</f>
        <v/>
      </c>
      <c r="F6" s="15">
        <f>IF($A6="","",IFERROR(SUMIFS(Imported!$F$2:$F$151,Imported!$B$2:$B$151,$B6&amp;"",Imported!$C$2:$C$151,$C6&amp;""),0))</f>
        <v/>
      </c>
      <c r="G6" s="6">
        <f>IF($A6="","",IFERROR(SUMIFS(Imported!$G$2:$G$151,Imported!$B$2:$B$151,$B6&amp;"",Imported!$C$2:$C$151,$C6&amp;""),0))</f>
        <v/>
      </c>
      <c r="H6" s="6">
        <f>IF($A6="","",IFERROR(SUMIFS(Imported!$H$2:$H$151,Imported!$B$2:$B$151,$B6&amp;"",Imported!$C$2:$C$151,$C6&amp;""),0))</f>
        <v/>
      </c>
    </row>
    <row r="7">
      <c r="A7" s="6">
        <f>IF(Roster!A7="","",Roster!A7)</f>
        <v/>
      </c>
      <c r="B7" s="6">
        <f>IF($A7="","",Roster!B7)</f>
        <v/>
      </c>
      <c r="C7" s="6">
        <f>IF($A7="","",Roster!C7)</f>
        <v/>
      </c>
      <c r="D7" s="6">
        <f>IF($A7="","",IFERROR(SUMIFS(Imported!$D$2:$D$151,Imported!$B$2:$B$151,$B7&amp;"",Imported!$C$2:$C$151,$C7&amp;""),0))</f>
        <v/>
      </c>
      <c r="E7" s="6">
        <f>IF($A7="","",IFERROR(SUMIFS(Imported!$E$2:$E$151,Imported!$B$2:$B$151,$B7&amp;"",Imported!$C$2:$C$151,$C7&amp;""),0))</f>
        <v/>
      </c>
      <c r="F7" s="15">
        <f>IF($A7="","",IFERROR(SUMIFS(Imported!$F$2:$F$151,Imported!$B$2:$B$151,$B7&amp;"",Imported!$C$2:$C$151,$C7&amp;""),0))</f>
        <v/>
      </c>
      <c r="G7" s="6">
        <f>IF($A7="","",IFERROR(SUMIFS(Imported!$G$2:$G$151,Imported!$B$2:$B$151,$B7&amp;"",Imported!$C$2:$C$151,$C7&amp;""),0))</f>
        <v/>
      </c>
      <c r="H7" s="6">
        <f>IF($A7="","",IFERROR(SUMIFS(Imported!$H$2:$H$151,Imported!$B$2:$B$151,$B7&amp;"",Imported!$C$2:$C$151,$C7&amp;""),0))</f>
        <v/>
      </c>
    </row>
    <row r="8">
      <c r="A8" s="6">
        <f>IF(Roster!A8="","",Roster!A8)</f>
        <v/>
      </c>
      <c r="B8" s="6">
        <f>IF($A8="","",Roster!B8)</f>
        <v/>
      </c>
      <c r="C8" s="6">
        <f>IF($A8="","",Roster!C8)</f>
        <v/>
      </c>
      <c r="D8" s="6">
        <f>IF($A8="","",IFERROR(SUMIFS(Imported!$D$2:$D$151,Imported!$B$2:$B$151,$B8&amp;"",Imported!$C$2:$C$151,$C8&amp;""),0))</f>
        <v/>
      </c>
      <c r="E8" s="6">
        <f>IF($A8="","",IFERROR(SUMIFS(Imported!$E$2:$E$151,Imported!$B$2:$B$151,$B8&amp;"",Imported!$C$2:$C$151,$C8&amp;""),0))</f>
        <v/>
      </c>
      <c r="F8" s="15">
        <f>IF($A8="","",IFERROR(SUMIFS(Imported!$F$2:$F$151,Imported!$B$2:$B$151,$B8&amp;"",Imported!$C$2:$C$151,$C8&amp;""),0))</f>
        <v/>
      </c>
      <c r="G8" s="6">
        <f>IF($A8="","",IFERROR(SUMIFS(Imported!$G$2:$G$151,Imported!$B$2:$B$151,$B8&amp;"",Imported!$C$2:$C$151,$C8&amp;""),0))</f>
        <v/>
      </c>
      <c r="H8" s="6">
        <f>IF($A8="","",IFERROR(SUMIFS(Imported!$H$2:$H$151,Imported!$B$2:$B$151,$B8&amp;"",Imported!$C$2:$C$151,$C8&amp;""),0))</f>
        <v/>
      </c>
    </row>
    <row r="9">
      <c r="A9" s="6">
        <f>IF(Roster!A9="","",Roster!A9)</f>
        <v/>
      </c>
      <c r="B9" s="6">
        <f>IF($A9="","",Roster!B9)</f>
        <v/>
      </c>
      <c r="C9" s="6">
        <f>IF($A9="","",Roster!C9)</f>
        <v/>
      </c>
      <c r="D9" s="6">
        <f>IF($A9="","",IFERROR(SUMIFS(Imported!$D$2:$D$151,Imported!$B$2:$B$151,$B9&amp;"",Imported!$C$2:$C$151,$C9&amp;""),0))</f>
        <v/>
      </c>
      <c r="E9" s="6">
        <f>IF($A9="","",IFERROR(SUMIFS(Imported!$E$2:$E$151,Imported!$B$2:$B$151,$B9&amp;"",Imported!$C$2:$C$151,$C9&amp;""),0))</f>
        <v/>
      </c>
      <c r="F9" s="15">
        <f>IF($A9="","",IFERROR(SUMIFS(Imported!$F$2:$F$151,Imported!$B$2:$B$151,$B9&amp;"",Imported!$C$2:$C$151,$C9&amp;""),0))</f>
        <v/>
      </c>
      <c r="G9" s="6">
        <f>IF($A9="","",IFERROR(SUMIFS(Imported!$G$2:$G$151,Imported!$B$2:$B$151,$B9&amp;"",Imported!$C$2:$C$151,$C9&amp;""),0))</f>
        <v/>
      </c>
      <c r="H9" s="6">
        <f>IF($A9="","",IFERROR(SUMIFS(Imported!$H$2:$H$151,Imported!$B$2:$B$151,$B9&amp;"",Imported!$C$2:$C$151,$C9&amp;""),0))</f>
        <v/>
      </c>
    </row>
    <row r="10">
      <c r="A10" s="6">
        <f>IF(Roster!A10="","",Roster!A10)</f>
        <v/>
      </c>
      <c r="B10" s="6">
        <f>IF($A10="","",Roster!B10)</f>
        <v/>
      </c>
      <c r="C10" s="6">
        <f>IF($A10="","",Roster!C10)</f>
        <v/>
      </c>
      <c r="D10" s="6">
        <f>IF($A10="","",IFERROR(SUMIFS(Imported!$D$2:$D$151,Imported!$B$2:$B$151,$B10&amp;"",Imported!$C$2:$C$151,$C10&amp;""),0))</f>
        <v/>
      </c>
      <c r="E10" s="6">
        <f>IF($A10="","",IFERROR(SUMIFS(Imported!$E$2:$E$151,Imported!$B$2:$B$151,$B10&amp;"",Imported!$C$2:$C$151,$C10&amp;""),0))</f>
        <v/>
      </c>
      <c r="F10" s="15">
        <f>IF($A10="","",IFERROR(SUMIFS(Imported!$F$2:$F$151,Imported!$B$2:$B$151,$B10&amp;"",Imported!$C$2:$C$151,$C10&amp;""),0))</f>
        <v/>
      </c>
      <c r="G10" s="6">
        <f>IF($A10="","",IFERROR(SUMIFS(Imported!$G$2:$G$151,Imported!$B$2:$B$151,$B10&amp;"",Imported!$C$2:$C$151,$C10&amp;""),0))</f>
        <v/>
      </c>
      <c r="H10" s="6">
        <f>IF($A10="","",IFERROR(SUMIFS(Imported!$H$2:$H$151,Imported!$B$2:$B$151,$B10&amp;"",Imported!$C$2:$C$151,$C10&amp;""),0))</f>
        <v/>
      </c>
    </row>
    <row r="11">
      <c r="A11" s="6">
        <f>IF(Roster!A11="","",Roster!A11)</f>
        <v/>
      </c>
      <c r="B11" s="6">
        <f>IF($A11="","",Roster!B11)</f>
        <v/>
      </c>
      <c r="C11" s="6">
        <f>IF($A11="","",Roster!C11)</f>
        <v/>
      </c>
      <c r="D11" s="6">
        <f>IF($A11="","",IFERROR(SUMIFS(Imported!$D$2:$D$151,Imported!$B$2:$B$151,$B11&amp;"",Imported!$C$2:$C$151,$C11&amp;""),0))</f>
        <v/>
      </c>
      <c r="E11" s="6">
        <f>IF($A11="","",IFERROR(SUMIFS(Imported!$E$2:$E$151,Imported!$B$2:$B$151,$B11&amp;"",Imported!$C$2:$C$151,$C11&amp;""),0))</f>
        <v/>
      </c>
      <c r="F11" s="15">
        <f>IF($A11="","",IFERROR(SUMIFS(Imported!$F$2:$F$151,Imported!$B$2:$B$151,$B11&amp;"",Imported!$C$2:$C$151,$C11&amp;""),0))</f>
        <v/>
      </c>
      <c r="G11" s="6">
        <f>IF($A11="","",IFERROR(SUMIFS(Imported!$G$2:$G$151,Imported!$B$2:$B$151,$B11&amp;"",Imported!$C$2:$C$151,$C11&amp;""),0))</f>
        <v/>
      </c>
      <c r="H11" s="6">
        <f>IF($A11="","",IFERROR(SUMIFS(Imported!$H$2:$H$151,Imported!$B$2:$B$151,$B11&amp;"",Imported!$C$2:$C$151,$C11&amp;""),0))</f>
        <v/>
      </c>
    </row>
    <row r="12">
      <c r="A12" s="6">
        <f>IF(Roster!A12="","",Roster!A12)</f>
        <v/>
      </c>
      <c r="B12" s="6">
        <f>IF($A12="","",Roster!B12)</f>
        <v/>
      </c>
      <c r="C12" s="6">
        <f>IF($A12="","",Roster!C12)</f>
        <v/>
      </c>
      <c r="D12" s="6">
        <f>IF($A12="","",IFERROR(SUMIFS(Imported!$D$2:$D$151,Imported!$B$2:$B$151,$B12&amp;"",Imported!$C$2:$C$151,$C12&amp;""),0))</f>
        <v/>
      </c>
      <c r="E12" s="6">
        <f>IF($A12="","",IFERROR(SUMIFS(Imported!$E$2:$E$151,Imported!$B$2:$B$151,$B12&amp;"",Imported!$C$2:$C$151,$C12&amp;""),0))</f>
        <v/>
      </c>
      <c r="F12" s="15">
        <f>IF($A12="","",IFERROR(SUMIFS(Imported!$F$2:$F$151,Imported!$B$2:$B$151,$B12&amp;"",Imported!$C$2:$C$151,$C12&amp;""),0))</f>
        <v/>
      </c>
      <c r="G12" s="6">
        <f>IF($A12="","",IFERROR(SUMIFS(Imported!$G$2:$G$151,Imported!$B$2:$B$151,$B12&amp;"",Imported!$C$2:$C$151,$C12&amp;""),0))</f>
        <v/>
      </c>
      <c r="H12" s="6">
        <f>IF($A12="","",IFERROR(SUMIFS(Imported!$H$2:$H$151,Imported!$B$2:$B$151,$B12&amp;"",Imported!$C$2:$C$151,$C12&amp;""),0))</f>
        <v/>
      </c>
    </row>
    <row r="13">
      <c r="A13" s="6">
        <f>IF(Roster!A13="","",Roster!A13)</f>
        <v/>
      </c>
      <c r="B13" s="6">
        <f>IF($A13="","",Roster!B13)</f>
        <v/>
      </c>
      <c r="C13" s="6">
        <f>IF($A13="","",Roster!C13)</f>
        <v/>
      </c>
      <c r="D13" s="6">
        <f>IF($A13="","",IFERROR(SUMIFS(Imported!$D$2:$D$151,Imported!$B$2:$B$151,$B13&amp;"",Imported!$C$2:$C$151,$C13&amp;""),0))</f>
        <v/>
      </c>
      <c r="E13" s="6">
        <f>IF($A13="","",IFERROR(SUMIFS(Imported!$E$2:$E$151,Imported!$B$2:$B$151,$B13&amp;"",Imported!$C$2:$C$151,$C13&amp;""),0))</f>
        <v/>
      </c>
      <c r="F13" s="15">
        <f>IF($A13="","",IFERROR(SUMIFS(Imported!$F$2:$F$151,Imported!$B$2:$B$151,$B13&amp;"",Imported!$C$2:$C$151,$C13&amp;""),0))</f>
        <v/>
      </c>
      <c r="G13" s="6">
        <f>IF($A13="","",IFERROR(SUMIFS(Imported!$G$2:$G$151,Imported!$B$2:$B$151,$B13&amp;"",Imported!$C$2:$C$151,$C13&amp;""),0))</f>
        <v/>
      </c>
      <c r="H13" s="6">
        <f>IF($A13="","",IFERROR(SUMIFS(Imported!$H$2:$H$151,Imported!$B$2:$B$151,$B13&amp;"",Imported!$C$2:$C$151,$C13&amp;""),0))</f>
        <v/>
      </c>
    </row>
    <row r="14">
      <c r="A14" s="6">
        <f>IF(Roster!A14="","",Roster!A14)</f>
        <v/>
      </c>
      <c r="B14" s="6">
        <f>IF($A14="","",Roster!B14)</f>
        <v/>
      </c>
      <c r="C14" s="6">
        <f>IF($A14="","",Roster!C14)</f>
        <v/>
      </c>
      <c r="D14" s="6">
        <f>IF($A14="","",IFERROR(SUMIFS(Imported!$D$2:$D$151,Imported!$B$2:$B$151,$B14&amp;"",Imported!$C$2:$C$151,$C14&amp;""),0))</f>
        <v/>
      </c>
      <c r="E14" s="6">
        <f>IF($A14="","",IFERROR(SUMIFS(Imported!$E$2:$E$151,Imported!$B$2:$B$151,$B14&amp;"",Imported!$C$2:$C$151,$C14&amp;""),0))</f>
        <v/>
      </c>
      <c r="F14" s="15">
        <f>IF($A14="","",IFERROR(SUMIFS(Imported!$F$2:$F$151,Imported!$B$2:$B$151,$B14&amp;"",Imported!$C$2:$C$151,$C14&amp;""),0))</f>
        <v/>
      </c>
      <c r="G14" s="6">
        <f>IF($A14="","",IFERROR(SUMIFS(Imported!$G$2:$G$151,Imported!$B$2:$B$151,$B14&amp;"",Imported!$C$2:$C$151,$C14&amp;""),0))</f>
        <v/>
      </c>
      <c r="H14" s="6">
        <f>IF($A14="","",IFERROR(SUMIFS(Imported!$H$2:$H$151,Imported!$B$2:$B$151,$B14&amp;"",Imported!$C$2:$C$151,$C14&amp;""),0))</f>
        <v/>
      </c>
    </row>
    <row r="15">
      <c r="A15" s="6">
        <f>IF(Roster!A15="","",Roster!A15)</f>
        <v/>
      </c>
      <c r="B15" s="6">
        <f>IF($A15="","",Roster!B15)</f>
        <v/>
      </c>
      <c r="C15" s="6">
        <f>IF($A15="","",Roster!C15)</f>
        <v/>
      </c>
      <c r="D15" s="6">
        <f>IF($A15="","",IFERROR(SUMIFS(Imported!$D$2:$D$151,Imported!$B$2:$B$151,$B15&amp;"",Imported!$C$2:$C$151,$C15&amp;""),0))</f>
        <v/>
      </c>
      <c r="E15" s="6">
        <f>IF($A15="","",IFERROR(SUMIFS(Imported!$E$2:$E$151,Imported!$B$2:$B$151,$B15&amp;"",Imported!$C$2:$C$151,$C15&amp;""),0))</f>
        <v/>
      </c>
      <c r="F15" s="15">
        <f>IF($A15="","",IFERROR(SUMIFS(Imported!$F$2:$F$151,Imported!$B$2:$B$151,$B15&amp;"",Imported!$C$2:$C$151,$C15&amp;""),0))</f>
        <v/>
      </c>
      <c r="G15" s="6">
        <f>IF($A15="","",IFERROR(SUMIFS(Imported!$G$2:$G$151,Imported!$B$2:$B$151,$B15&amp;"",Imported!$C$2:$C$151,$C15&amp;""),0))</f>
        <v/>
      </c>
      <c r="H15" s="6">
        <f>IF($A15="","",IFERROR(SUMIFS(Imported!$H$2:$H$151,Imported!$B$2:$B$151,$B15&amp;"",Imported!$C$2:$C$151,$C15&amp;""),0))</f>
        <v/>
      </c>
    </row>
    <row r="16">
      <c r="A16" s="6">
        <f>IF(Roster!A16="","",Roster!A16)</f>
        <v/>
      </c>
      <c r="B16" s="6">
        <f>IF($A16="","",Roster!B16)</f>
        <v/>
      </c>
      <c r="C16" s="6">
        <f>IF($A16="","",Roster!C16)</f>
        <v/>
      </c>
      <c r="D16" s="6">
        <f>IF($A16="","",IFERROR(SUMIFS(Imported!$D$2:$D$151,Imported!$B$2:$B$151,$B16&amp;"",Imported!$C$2:$C$151,$C16&amp;""),0))</f>
        <v/>
      </c>
      <c r="E16" s="6">
        <f>IF($A16="","",IFERROR(SUMIFS(Imported!$E$2:$E$151,Imported!$B$2:$B$151,$B16&amp;"",Imported!$C$2:$C$151,$C16&amp;""),0))</f>
        <v/>
      </c>
      <c r="F16" s="15">
        <f>IF($A16="","",IFERROR(SUMIFS(Imported!$F$2:$F$151,Imported!$B$2:$B$151,$B16&amp;"",Imported!$C$2:$C$151,$C16&amp;""),0))</f>
        <v/>
      </c>
      <c r="G16" s="6">
        <f>IF($A16="","",IFERROR(SUMIFS(Imported!$G$2:$G$151,Imported!$B$2:$B$151,$B16&amp;"",Imported!$C$2:$C$151,$C16&amp;""),0))</f>
        <v/>
      </c>
      <c r="H16" s="6">
        <f>IF($A16="","",IFERROR(SUMIFS(Imported!$H$2:$H$151,Imported!$B$2:$B$151,$B16&amp;"",Imported!$C$2:$C$151,$C16&amp;""),0))</f>
        <v/>
      </c>
    </row>
    <row r="17">
      <c r="A17" s="6">
        <f>IF(Roster!A17="","",Roster!A17)</f>
        <v/>
      </c>
      <c r="B17" s="6">
        <f>IF($A17="","",Roster!B17)</f>
        <v/>
      </c>
      <c r="C17" s="6">
        <f>IF($A17="","",Roster!C17)</f>
        <v/>
      </c>
      <c r="D17" s="6">
        <f>IF($A17="","",IFERROR(SUMIFS(Imported!$D$2:$D$151,Imported!$B$2:$B$151,$B17&amp;"",Imported!$C$2:$C$151,$C17&amp;""),0))</f>
        <v/>
      </c>
      <c r="E17" s="6">
        <f>IF($A17="","",IFERROR(SUMIFS(Imported!$E$2:$E$151,Imported!$B$2:$B$151,$B17&amp;"",Imported!$C$2:$C$151,$C17&amp;""),0))</f>
        <v/>
      </c>
      <c r="F17" s="15">
        <f>IF($A17="","",IFERROR(SUMIFS(Imported!$F$2:$F$151,Imported!$B$2:$B$151,$B17&amp;"",Imported!$C$2:$C$151,$C17&amp;""),0))</f>
        <v/>
      </c>
      <c r="G17" s="6">
        <f>IF($A17="","",IFERROR(SUMIFS(Imported!$G$2:$G$151,Imported!$B$2:$B$151,$B17&amp;"",Imported!$C$2:$C$151,$C17&amp;""),0))</f>
        <v/>
      </c>
      <c r="H17" s="6">
        <f>IF($A17="","",IFERROR(SUMIFS(Imported!$H$2:$H$151,Imported!$B$2:$B$151,$B17&amp;"",Imported!$C$2:$C$151,$C17&amp;""),0))</f>
        <v/>
      </c>
    </row>
    <row r="18">
      <c r="A18" s="6">
        <f>IF(Roster!A18="","",Roster!A18)</f>
        <v/>
      </c>
      <c r="B18" s="6">
        <f>IF($A18="","",Roster!B18)</f>
        <v/>
      </c>
      <c r="C18" s="6">
        <f>IF($A18="","",Roster!C18)</f>
        <v/>
      </c>
      <c r="D18" s="6">
        <f>IF($A18="","",IFERROR(SUMIFS(Imported!$D$2:$D$151,Imported!$B$2:$B$151,$B18&amp;"",Imported!$C$2:$C$151,$C18&amp;""),0))</f>
        <v/>
      </c>
      <c r="E18" s="6">
        <f>IF($A18="","",IFERROR(SUMIFS(Imported!$E$2:$E$151,Imported!$B$2:$B$151,$B18&amp;"",Imported!$C$2:$C$151,$C18&amp;""),0))</f>
        <v/>
      </c>
      <c r="F18" s="15">
        <f>IF($A18="","",IFERROR(SUMIFS(Imported!$F$2:$F$151,Imported!$B$2:$B$151,$B18&amp;"",Imported!$C$2:$C$151,$C18&amp;""),0))</f>
        <v/>
      </c>
      <c r="G18" s="6">
        <f>IF($A18="","",IFERROR(SUMIFS(Imported!$G$2:$G$151,Imported!$B$2:$B$151,$B18&amp;"",Imported!$C$2:$C$151,$C18&amp;""),0))</f>
        <v/>
      </c>
      <c r="H18" s="6">
        <f>IF($A18="","",IFERROR(SUMIFS(Imported!$H$2:$H$151,Imported!$B$2:$B$151,$B18&amp;"",Imported!$C$2:$C$151,$C18&amp;""),0))</f>
        <v/>
      </c>
    </row>
    <row r="19">
      <c r="A19" s="6">
        <f>IF(Roster!A19="","",Roster!A19)</f>
        <v/>
      </c>
      <c r="B19" s="6">
        <f>IF($A19="","",Roster!B19)</f>
        <v/>
      </c>
      <c r="C19" s="6">
        <f>IF($A19="","",Roster!C19)</f>
        <v/>
      </c>
      <c r="D19" s="6">
        <f>IF($A19="","",IFERROR(SUMIFS(Imported!$D$2:$D$151,Imported!$B$2:$B$151,$B19&amp;"",Imported!$C$2:$C$151,$C19&amp;""),0))</f>
        <v/>
      </c>
      <c r="E19" s="6">
        <f>IF($A19="","",IFERROR(SUMIFS(Imported!$E$2:$E$151,Imported!$B$2:$B$151,$B19&amp;"",Imported!$C$2:$C$151,$C19&amp;""),0))</f>
        <v/>
      </c>
      <c r="F19" s="15">
        <f>IF($A19="","",IFERROR(SUMIFS(Imported!$F$2:$F$151,Imported!$B$2:$B$151,$B19&amp;"",Imported!$C$2:$C$151,$C19&amp;""),0))</f>
        <v/>
      </c>
      <c r="G19" s="6">
        <f>IF($A19="","",IFERROR(SUMIFS(Imported!$G$2:$G$151,Imported!$B$2:$B$151,$B19&amp;"",Imported!$C$2:$C$151,$C19&amp;""),0))</f>
        <v/>
      </c>
      <c r="H19" s="6">
        <f>IF($A19="","",IFERROR(SUMIFS(Imported!$H$2:$H$151,Imported!$B$2:$B$151,$B19&amp;"",Imported!$C$2:$C$151,$C19&amp;""),0))</f>
        <v/>
      </c>
    </row>
    <row r="20">
      <c r="A20" s="6">
        <f>IF(Roster!A20="","",Roster!A20)</f>
        <v/>
      </c>
      <c r="B20" s="6">
        <f>IF($A20="","",Roster!B20)</f>
        <v/>
      </c>
      <c r="C20" s="6">
        <f>IF($A20="","",Roster!C20)</f>
        <v/>
      </c>
      <c r="D20" s="6">
        <f>IF($A20="","",IFERROR(SUMIFS(Imported!$D$2:$D$151,Imported!$B$2:$B$151,$B20&amp;"",Imported!$C$2:$C$151,$C20&amp;""),0))</f>
        <v/>
      </c>
      <c r="E20" s="6">
        <f>IF($A20="","",IFERROR(SUMIFS(Imported!$E$2:$E$151,Imported!$B$2:$B$151,$B20&amp;"",Imported!$C$2:$C$151,$C20&amp;""),0))</f>
        <v/>
      </c>
      <c r="F20" s="15">
        <f>IF($A20="","",IFERROR(SUMIFS(Imported!$F$2:$F$151,Imported!$B$2:$B$151,$B20&amp;"",Imported!$C$2:$C$151,$C20&amp;""),0))</f>
        <v/>
      </c>
      <c r="G20" s="6">
        <f>IF($A20="","",IFERROR(SUMIFS(Imported!$G$2:$G$151,Imported!$B$2:$B$151,$B20&amp;"",Imported!$C$2:$C$151,$C20&amp;""),0))</f>
        <v/>
      </c>
      <c r="H20" s="6">
        <f>IF($A20="","",IFERROR(SUMIFS(Imported!$H$2:$H$151,Imported!$B$2:$B$151,$B20&amp;"",Imported!$C$2:$C$151,$C20&amp;""),0))</f>
        <v/>
      </c>
    </row>
    <row r="21">
      <c r="A21" s="6">
        <f>IF(Roster!A21="","",Roster!A21)</f>
        <v/>
      </c>
      <c r="B21" s="6">
        <f>IF($A21="","",Roster!B21)</f>
        <v/>
      </c>
      <c r="C21" s="6">
        <f>IF($A21="","",Roster!C21)</f>
        <v/>
      </c>
      <c r="D21" s="6">
        <f>IF($A21="","",IFERROR(SUMIFS(Imported!$D$2:$D$151,Imported!$B$2:$B$151,$B21&amp;"",Imported!$C$2:$C$151,$C21&amp;""),0))</f>
        <v/>
      </c>
      <c r="E21" s="6">
        <f>IF($A21="","",IFERROR(SUMIFS(Imported!$E$2:$E$151,Imported!$B$2:$B$151,$B21&amp;"",Imported!$C$2:$C$151,$C21&amp;""),0))</f>
        <v/>
      </c>
      <c r="F21" s="15">
        <f>IF($A21="","",IFERROR(SUMIFS(Imported!$F$2:$F$151,Imported!$B$2:$B$151,$B21&amp;"",Imported!$C$2:$C$151,$C21&amp;""),0))</f>
        <v/>
      </c>
      <c r="G21" s="6">
        <f>IF($A21="","",IFERROR(SUMIFS(Imported!$G$2:$G$151,Imported!$B$2:$B$151,$B21&amp;"",Imported!$C$2:$C$151,$C21&amp;""),0))</f>
        <v/>
      </c>
      <c r="H21" s="6">
        <f>IF($A21="","",IFERROR(SUMIFS(Imported!$H$2:$H$151,Imported!$B$2:$B$151,$B21&amp;"",Imported!$C$2:$C$151,$C21&amp;""),0))</f>
        <v/>
      </c>
    </row>
    <row r="22">
      <c r="A22" s="6">
        <f>IF(Roster!A22="","",Roster!A22)</f>
        <v/>
      </c>
      <c r="B22" s="6">
        <f>IF($A22="","",Roster!B22)</f>
        <v/>
      </c>
      <c r="C22" s="6">
        <f>IF($A22="","",Roster!C22)</f>
        <v/>
      </c>
      <c r="D22" s="6">
        <f>IF($A22="","",IFERROR(SUMIFS(Imported!$D$2:$D$151,Imported!$B$2:$B$151,$B22&amp;"",Imported!$C$2:$C$151,$C22&amp;""),0))</f>
        <v/>
      </c>
      <c r="E22" s="6">
        <f>IF($A22="","",IFERROR(SUMIFS(Imported!$E$2:$E$151,Imported!$B$2:$B$151,$B22&amp;"",Imported!$C$2:$C$151,$C22&amp;""),0))</f>
        <v/>
      </c>
      <c r="F22" s="15">
        <f>IF($A22="","",IFERROR(SUMIFS(Imported!$F$2:$F$151,Imported!$B$2:$B$151,$B22&amp;"",Imported!$C$2:$C$151,$C22&amp;""),0))</f>
        <v/>
      </c>
      <c r="G22" s="6">
        <f>IF($A22="","",IFERROR(SUMIFS(Imported!$G$2:$G$151,Imported!$B$2:$B$151,$B22&amp;"",Imported!$C$2:$C$151,$C22&amp;""),0))</f>
        <v/>
      </c>
      <c r="H22" s="6">
        <f>IF($A22="","",IFERROR(SUMIFS(Imported!$H$2:$H$151,Imported!$B$2:$B$151,$B22&amp;"",Imported!$C$2:$C$151,$C22&amp;""),0))</f>
        <v/>
      </c>
    </row>
    <row r="23">
      <c r="A23" s="6">
        <f>IF(Roster!A23="","",Roster!A23)</f>
        <v/>
      </c>
      <c r="B23" s="6">
        <f>IF($A23="","",Roster!B23)</f>
        <v/>
      </c>
      <c r="C23" s="6">
        <f>IF($A23="","",Roster!C23)</f>
        <v/>
      </c>
      <c r="D23" s="6">
        <f>IF($A23="","",IFERROR(SUMIFS(Imported!$D$2:$D$151,Imported!$B$2:$B$151,$B23&amp;"",Imported!$C$2:$C$151,$C23&amp;""),0))</f>
        <v/>
      </c>
      <c r="E23" s="6">
        <f>IF($A23="","",IFERROR(SUMIFS(Imported!$E$2:$E$151,Imported!$B$2:$B$151,$B23&amp;"",Imported!$C$2:$C$151,$C23&amp;""),0))</f>
        <v/>
      </c>
      <c r="F23" s="15">
        <f>IF($A23="","",IFERROR(SUMIFS(Imported!$F$2:$F$151,Imported!$B$2:$B$151,$B23&amp;"",Imported!$C$2:$C$151,$C23&amp;""),0))</f>
        <v/>
      </c>
      <c r="G23" s="6">
        <f>IF($A23="","",IFERROR(SUMIFS(Imported!$G$2:$G$151,Imported!$B$2:$B$151,$B23&amp;"",Imported!$C$2:$C$151,$C23&amp;""),0))</f>
        <v/>
      </c>
      <c r="H23" s="6">
        <f>IF($A23="","",IFERROR(SUMIFS(Imported!$H$2:$H$151,Imported!$B$2:$B$151,$B23&amp;"",Imported!$C$2:$C$151,$C23&amp;""),0))</f>
        <v/>
      </c>
    </row>
    <row r="24">
      <c r="A24" s="6">
        <f>IF(Roster!A24="","",Roster!A24)</f>
        <v/>
      </c>
      <c r="B24" s="6">
        <f>IF($A24="","",Roster!B24)</f>
        <v/>
      </c>
      <c r="C24" s="6">
        <f>IF($A24="","",Roster!C24)</f>
        <v/>
      </c>
      <c r="D24" s="6">
        <f>IF($A24="","",IFERROR(SUMIFS(Imported!$D$2:$D$151,Imported!$B$2:$B$151,$B24&amp;"",Imported!$C$2:$C$151,$C24&amp;""),0))</f>
        <v/>
      </c>
      <c r="E24" s="6">
        <f>IF($A24="","",IFERROR(SUMIFS(Imported!$E$2:$E$151,Imported!$B$2:$B$151,$B24&amp;"",Imported!$C$2:$C$151,$C24&amp;""),0))</f>
        <v/>
      </c>
      <c r="F24" s="15">
        <f>IF($A24="","",IFERROR(SUMIFS(Imported!$F$2:$F$151,Imported!$B$2:$B$151,$B24&amp;"",Imported!$C$2:$C$151,$C24&amp;""),0))</f>
        <v/>
      </c>
      <c r="G24" s="6">
        <f>IF($A24="","",IFERROR(SUMIFS(Imported!$G$2:$G$151,Imported!$B$2:$B$151,$B24&amp;"",Imported!$C$2:$C$151,$C24&amp;""),0))</f>
        <v/>
      </c>
      <c r="H24" s="6">
        <f>IF($A24="","",IFERROR(SUMIFS(Imported!$H$2:$H$151,Imported!$B$2:$B$151,$B24&amp;"",Imported!$C$2:$C$151,$C24&amp;""),0))</f>
        <v/>
      </c>
    </row>
    <row r="25">
      <c r="A25" s="6">
        <f>IF(Roster!A25="","",Roster!A25)</f>
        <v/>
      </c>
      <c r="B25" s="6">
        <f>IF($A25="","",Roster!B25)</f>
        <v/>
      </c>
      <c r="C25" s="6">
        <f>IF($A25="","",Roster!C25)</f>
        <v/>
      </c>
      <c r="D25" s="6">
        <f>IF($A25="","",IFERROR(SUMIFS(Imported!$D$2:$D$151,Imported!$B$2:$B$151,$B25&amp;"",Imported!$C$2:$C$151,$C25&amp;""),0))</f>
        <v/>
      </c>
      <c r="E25" s="6">
        <f>IF($A25="","",IFERROR(SUMIFS(Imported!$E$2:$E$151,Imported!$B$2:$B$151,$B25&amp;"",Imported!$C$2:$C$151,$C25&amp;""),0))</f>
        <v/>
      </c>
      <c r="F25" s="15">
        <f>IF($A25="","",IFERROR(SUMIFS(Imported!$F$2:$F$151,Imported!$B$2:$B$151,$B25&amp;"",Imported!$C$2:$C$151,$C25&amp;""),0))</f>
        <v/>
      </c>
      <c r="G25" s="6">
        <f>IF($A25="","",IFERROR(SUMIFS(Imported!$G$2:$G$151,Imported!$B$2:$B$151,$B25&amp;"",Imported!$C$2:$C$151,$C25&amp;""),0))</f>
        <v/>
      </c>
      <c r="H25" s="6">
        <f>IF($A25="","",IFERROR(SUMIFS(Imported!$H$2:$H$151,Imported!$B$2:$B$151,$B25&amp;"",Imported!$C$2:$C$151,$C25&amp;""),0))</f>
        <v/>
      </c>
    </row>
    <row r="26">
      <c r="A26" s="6">
        <f>IF(Roster!A26="","",Roster!A26)</f>
        <v/>
      </c>
      <c r="B26" s="6">
        <f>IF($A26="","",Roster!B26)</f>
        <v/>
      </c>
      <c r="C26" s="6">
        <f>IF($A26="","",Roster!C26)</f>
        <v/>
      </c>
      <c r="D26" s="6">
        <f>IF($A26="","",IFERROR(SUMIFS(Imported!$D$2:$D$151,Imported!$B$2:$B$151,$B26&amp;"",Imported!$C$2:$C$151,$C26&amp;""),0))</f>
        <v/>
      </c>
      <c r="E26" s="6">
        <f>IF($A26="","",IFERROR(SUMIFS(Imported!$E$2:$E$151,Imported!$B$2:$B$151,$B26&amp;"",Imported!$C$2:$C$151,$C26&amp;""),0))</f>
        <v/>
      </c>
      <c r="F26" s="15">
        <f>IF($A26="","",IFERROR(SUMIFS(Imported!$F$2:$F$151,Imported!$B$2:$B$151,$B26&amp;"",Imported!$C$2:$C$151,$C26&amp;""),0))</f>
        <v/>
      </c>
      <c r="G26" s="6">
        <f>IF($A26="","",IFERROR(SUMIFS(Imported!$G$2:$G$151,Imported!$B$2:$B$151,$B26&amp;"",Imported!$C$2:$C$151,$C26&amp;""),0))</f>
        <v/>
      </c>
      <c r="H26" s="6">
        <f>IF($A26="","",IFERROR(SUMIFS(Imported!$H$2:$H$151,Imported!$B$2:$B$151,$B26&amp;"",Imported!$C$2:$C$151,$C26&amp;""),0))</f>
        <v/>
      </c>
    </row>
    <row r="27">
      <c r="A27" s="6">
        <f>IF(Roster!A27="","",Roster!A27)</f>
        <v/>
      </c>
      <c r="B27" s="6">
        <f>IF($A27="","",Roster!B27)</f>
        <v/>
      </c>
      <c r="C27" s="6">
        <f>IF($A27="","",Roster!C27)</f>
        <v/>
      </c>
      <c r="D27" s="6">
        <f>IF($A27="","",IFERROR(SUMIFS(Imported!$D$2:$D$151,Imported!$B$2:$B$151,$B27&amp;"",Imported!$C$2:$C$151,$C27&amp;""),0))</f>
        <v/>
      </c>
      <c r="E27" s="6">
        <f>IF($A27="","",IFERROR(SUMIFS(Imported!$E$2:$E$151,Imported!$B$2:$B$151,$B27&amp;"",Imported!$C$2:$C$151,$C27&amp;""),0))</f>
        <v/>
      </c>
      <c r="F27" s="15">
        <f>IF($A27="","",IFERROR(SUMIFS(Imported!$F$2:$F$151,Imported!$B$2:$B$151,$B27&amp;"",Imported!$C$2:$C$151,$C27&amp;""),0))</f>
        <v/>
      </c>
      <c r="G27" s="6">
        <f>IF($A27="","",IFERROR(SUMIFS(Imported!$G$2:$G$151,Imported!$B$2:$B$151,$B27&amp;"",Imported!$C$2:$C$151,$C27&amp;""),0))</f>
        <v/>
      </c>
      <c r="H27" s="6">
        <f>IF($A27="","",IFERROR(SUMIFS(Imported!$H$2:$H$151,Imported!$B$2:$B$151,$B27&amp;"",Imported!$C$2:$C$151,$C27&amp;""),0))</f>
        <v/>
      </c>
    </row>
    <row r="28">
      <c r="A28" s="6">
        <f>IF(Roster!A28="","",Roster!A28)</f>
        <v/>
      </c>
      <c r="B28" s="6">
        <f>IF($A28="","",Roster!B28)</f>
        <v/>
      </c>
      <c r="C28" s="6">
        <f>IF($A28="","",Roster!C28)</f>
        <v/>
      </c>
      <c r="D28" s="6">
        <f>IF($A28="","",IFERROR(SUMIFS(Imported!$D$2:$D$151,Imported!$B$2:$B$151,$B28&amp;"",Imported!$C$2:$C$151,$C28&amp;""),0))</f>
        <v/>
      </c>
      <c r="E28" s="6">
        <f>IF($A28="","",IFERROR(SUMIFS(Imported!$E$2:$E$151,Imported!$B$2:$B$151,$B28&amp;"",Imported!$C$2:$C$151,$C28&amp;""),0))</f>
        <v/>
      </c>
      <c r="F28" s="15">
        <f>IF($A28="","",IFERROR(SUMIFS(Imported!$F$2:$F$151,Imported!$B$2:$B$151,$B28&amp;"",Imported!$C$2:$C$151,$C28&amp;""),0))</f>
        <v/>
      </c>
      <c r="G28" s="6">
        <f>IF($A28="","",IFERROR(SUMIFS(Imported!$G$2:$G$151,Imported!$B$2:$B$151,$B28&amp;"",Imported!$C$2:$C$151,$C28&amp;""),0))</f>
        <v/>
      </c>
      <c r="H28" s="6">
        <f>IF($A28="","",IFERROR(SUMIFS(Imported!$H$2:$H$151,Imported!$B$2:$B$151,$B28&amp;"",Imported!$C$2:$C$151,$C28&amp;""),0))</f>
        <v/>
      </c>
    </row>
    <row r="29">
      <c r="A29" s="6">
        <f>IF(Roster!A29="","",Roster!A29)</f>
        <v/>
      </c>
      <c r="B29" s="6">
        <f>IF($A29="","",Roster!B29)</f>
        <v/>
      </c>
      <c r="C29" s="6">
        <f>IF($A29="","",Roster!C29)</f>
        <v/>
      </c>
      <c r="D29" s="6">
        <f>IF($A29="","",IFERROR(SUMIFS(Imported!$D$2:$D$151,Imported!$B$2:$B$151,$B29&amp;"",Imported!$C$2:$C$151,$C29&amp;""),0))</f>
        <v/>
      </c>
      <c r="E29" s="6">
        <f>IF($A29="","",IFERROR(SUMIFS(Imported!$E$2:$E$151,Imported!$B$2:$B$151,$B29&amp;"",Imported!$C$2:$C$151,$C29&amp;""),0))</f>
        <v/>
      </c>
      <c r="F29" s="15">
        <f>IF($A29="","",IFERROR(SUMIFS(Imported!$F$2:$F$151,Imported!$B$2:$B$151,$B29&amp;"",Imported!$C$2:$C$151,$C29&amp;""),0))</f>
        <v/>
      </c>
      <c r="G29" s="6">
        <f>IF($A29="","",IFERROR(SUMIFS(Imported!$G$2:$G$151,Imported!$B$2:$B$151,$B29&amp;"",Imported!$C$2:$C$151,$C29&amp;""),0))</f>
        <v/>
      </c>
      <c r="H29" s="6">
        <f>IF($A29="","",IFERROR(SUMIFS(Imported!$H$2:$H$151,Imported!$B$2:$B$151,$B29&amp;"",Imported!$C$2:$C$151,$C29&amp;""),0))</f>
        <v/>
      </c>
    </row>
    <row r="30">
      <c r="A30" s="6">
        <f>IF(Roster!A30="","",Roster!A30)</f>
        <v/>
      </c>
      <c r="B30" s="6">
        <f>IF($A30="","",Roster!B30)</f>
        <v/>
      </c>
      <c r="C30" s="6">
        <f>IF($A30="","",Roster!C30)</f>
        <v/>
      </c>
      <c r="D30" s="6">
        <f>IF($A30="","",IFERROR(SUMIFS(Imported!$D$2:$D$151,Imported!$B$2:$B$151,$B30&amp;"",Imported!$C$2:$C$151,$C30&amp;""),0))</f>
        <v/>
      </c>
      <c r="E30" s="6">
        <f>IF($A30="","",IFERROR(SUMIFS(Imported!$E$2:$E$151,Imported!$B$2:$B$151,$B30&amp;"",Imported!$C$2:$C$151,$C30&amp;""),0))</f>
        <v/>
      </c>
      <c r="F30" s="15">
        <f>IF($A30="","",IFERROR(SUMIFS(Imported!$F$2:$F$151,Imported!$B$2:$B$151,$B30&amp;"",Imported!$C$2:$C$151,$C30&amp;""),0))</f>
        <v/>
      </c>
      <c r="G30" s="6">
        <f>IF($A30="","",IFERROR(SUMIFS(Imported!$G$2:$G$151,Imported!$B$2:$B$151,$B30&amp;"",Imported!$C$2:$C$151,$C30&amp;""),0))</f>
        <v/>
      </c>
      <c r="H30" s="6">
        <f>IF($A30="","",IFERROR(SUMIFS(Imported!$H$2:$H$151,Imported!$B$2:$B$151,$B30&amp;"",Imported!$C$2:$C$151,$C30&amp;""),0))</f>
        <v/>
      </c>
    </row>
    <row r="31">
      <c r="A31" s="6">
        <f>IF(Roster!A31="","",Roster!A31)</f>
        <v/>
      </c>
      <c r="B31" s="6">
        <f>IF($A31="","",Roster!B31)</f>
        <v/>
      </c>
      <c r="C31" s="6">
        <f>IF($A31="","",Roster!C31)</f>
        <v/>
      </c>
      <c r="D31" s="6">
        <f>IF($A31="","",IFERROR(SUMIFS(Imported!$D$2:$D$151,Imported!$B$2:$B$151,$B31&amp;"",Imported!$C$2:$C$151,$C31&amp;""),0))</f>
        <v/>
      </c>
      <c r="E31" s="6">
        <f>IF($A31="","",IFERROR(SUMIFS(Imported!$E$2:$E$151,Imported!$B$2:$B$151,$B31&amp;"",Imported!$C$2:$C$151,$C31&amp;""),0))</f>
        <v/>
      </c>
      <c r="F31" s="15">
        <f>IF($A31="","",IFERROR(SUMIFS(Imported!$F$2:$F$151,Imported!$B$2:$B$151,$B31&amp;"",Imported!$C$2:$C$151,$C31&amp;""),0))</f>
        <v/>
      </c>
      <c r="G31" s="6">
        <f>IF($A31="","",IFERROR(SUMIFS(Imported!$G$2:$G$151,Imported!$B$2:$B$151,$B31&amp;"",Imported!$C$2:$C$151,$C31&amp;""),0))</f>
        <v/>
      </c>
      <c r="H31" s="6">
        <f>IF($A31="","",IFERROR(SUMIFS(Imported!$H$2:$H$151,Imported!$B$2:$B$151,$B31&amp;"",Imported!$C$2:$C$151,$C31&amp;""),0))</f>
        <v/>
      </c>
    </row>
    <row r="32">
      <c r="A32" s="6">
        <f>IF(Roster!A32="","",Roster!A32)</f>
        <v/>
      </c>
      <c r="B32" s="6">
        <f>IF($A32="","",Roster!B32)</f>
        <v/>
      </c>
      <c r="C32" s="6">
        <f>IF($A32="","",Roster!C32)</f>
        <v/>
      </c>
      <c r="D32" s="6">
        <f>IF($A32="","",IFERROR(SUMIFS(Imported!$D$2:$D$151,Imported!$B$2:$B$151,$B32&amp;"",Imported!$C$2:$C$151,$C32&amp;""),0))</f>
        <v/>
      </c>
      <c r="E32" s="6">
        <f>IF($A32="","",IFERROR(SUMIFS(Imported!$E$2:$E$151,Imported!$B$2:$B$151,$B32&amp;"",Imported!$C$2:$C$151,$C32&amp;""),0))</f>
        <v/>
      </c>
      <c r="F32" s="15">
        <f>IF($A32="","",IFERROR(SUMIFS(Imported!$F$2:$F$151,Imported!$B$2:$B$151,$B32&amp;"",Imported!$C$2:$C$151,$C32&amp;""),0))</f>
        <v/>
      </c>
      <c r="G32" s="6">
        <f>IF($A32="","",IFERROR(SUMIFS(Imported!$G$2:$G$151,Imported!$B$2:$B$151,$B32&amp;"",Imported!$C$2:$C$151,$C32&amp;""),0))</f>
        <v/>
      </c>
      <c r="H32" s="6">
        <f>IF($A32="","",IFERROR(SUMIFS(Imported!$H$2:$H$151,Imported!$B$2:$B$151,$B32&amp;"",Imported!$C$2:$C$151,$C32&amp;""),0))</f>
        <v/>
      </c>
    </row>
    <row r="33">
      <c r="A33" s="6">
        <f>IF(Roster!A33="","",Roster!A33)</f>
        <v/>
      </c>
      <c r="B33" s="6">
        <f>IF($A33="","",Roster!B33)</f>
        <v/>
      </c>
      <c r="C33" s="6">
        <f>IF($A33="","",Roster!C33)</f>
        <v/>
      </c>
      <c r="D33" s="6">
        <f>IF($A33="","",IFERROR(SUMIFS(Imported!$D$2:$D$151,Imported!$B$2:$B$151,$B33&amp;"",Imported!$C$2:$C$151,$C33&amp;""),0))</f>
        <v/>
      </c>
      <c r="E33" s="6">
        <f>IF($A33="","",IFERROR(SUMIFS(Imported!$E$2:$E$151,Imported!$B$2:$B$151,$B33&amp;"",Imported!$C$2:$C$151,$C33&amp;""),0))</f>
        <v/>
      </c>
      <c r="F33" s="15">
        <f>IF($A33="","",IFERROR(SUMIFS(Imported!$F$2:$F$151,Imported!$B$2:$B$151,$B33&amp;"",Imported!$C$2:$C$151,$C33&amp;""),0))</f>
        <v/>
      </c>
      <c r="G33" s="6">
        <f>IF($A33="","",IFERROR(SUMIFS(Imported!$G$2:$G$151,Imported!$B$2:$B$151,$B33&amp;"",Imported!$C$2:$C$151,$C33&amp;""),0))</f>
        <v/>
      </c>
      <c r="H33" s="6">
        <f>IF($A33="","",IFERROR(SUMIFS(Imported!$H$2:$H$151,Imported!$B$2:$B$151,$B33&amp;"",Imported!$C$2:$C$151,$C33&amp;""),0))</f>
        <v/>
      </c>
    </row>
    <row r="34">
      <c r="A34" s="6">
        <f>IF(Roster!A34="","",Roster!A34)</f>
        <v/>
      </c>
      <c r="B34" s="6">
        <f>IF($A34="","",Roster!B34)</f>
        <v/>
      </c>
      <c r="C34" s="6">
        <f>IF($A34="","",Roster!C34)</f>
        <v/>
      </c>
      <c r="D34" s="6">
        <f>IF($A34="","",IFERROR(SUMIFS(Imported!$D$2:$D$151,Imported!$B$2:$B$151,$B34&amp;"",Imported!$C$2:$C$151,$C34&amp;""),0))</f>
        <v/>
      </c>
      <c r="E34" s="6">
        <f>IF($A34="","",IFERROR(SUMIFS(Imported!$E$2:$E$151,Imported!$B$2:$B$151,$B34&amp;"",Imported!$C$2:$C$151,$C34&amp;""),0))</f>
        <v/>
      </c>
      <c r="F34" s="15">
        <f>IF($A34="","",IFERROR(SUMIFS(Imported!$F$2:$F$151,Imported!$B$2:$B$151,$B34&amp;"",Imported!$C$2:$C$151,$C34&amp;""),0))</f>
        <v/>
      </c>
      <c r="G34" s="6">
        <f>IF($A34="","",IFERROR(SUMIFS(Imported!$G$2:$G$151,Imported!$B$2:$B$151,$B34&amp;"",Imported!$C$2:$C$151,$C34&amp;""),0))</f>
        <v/>
      </c>
      <c r="H34" s="6">
        <f>IF($A34="","",IFERROR(SUMIFS(Imported!$H$2:$H$151,Imported!$B$2:$B$151,$B34&amp;"",Imported!$C$2:$C$151,$C34&amp;""),0))</f>
        <v/>
      </c>
    </row>
    <row r="35">
      <c r="A35" s="6">
        <f>IF(Roster!A35="","",Roster!A35)</f>
        <v/>
      </c>
      <c r="B35" s="6">
        <f>IF($A35="","",Roster!B35)</f>
        <v/>
      </c>
      <c r="C35" s="6">
        <f>IF($A35="","",Roster!C35)</f>
        <v/>
      </c>
      <c r="D35" s="6">
        <f>IF($A35="","",IFERROR(SUMIFS(Imported!$D$2:$D$151,Imported!$B$2:$B$151,$B35&amp;"",Imported!$C$2:$C$151,$C35&amp;""),0))</f>
        <v/>
      </c>
      <c r="E35" s="6">
        <f>IF($A35="","",IFERROR(SUMIFS(Imported!$E$2:$E$151,Imported!$B$2:$B$151,$B35&amp;"",Imported!$C$2:$C$151,$C35&amp;""),0))</f>
        <v/>
      </c>
      <c r="F35" s="15">
        <f>IF($A35="","",IFERROR(SUMIFS(Imported!$F$2:$F$151,Imported!$B$2:$B$151,$B35&amp;"",Imported!$C$2:$C$151,$C35&amp;""),0))</f>
        <v/>
      </c>
      <c r="G35" s="6">
        <f>IF($A35="","",IFERROR(SUMIFS(Imported!$G$2:$G$151,Imported!$B$2:$B$151,$B35&amp;"",Imported!$C$2:$C$151,$C35&amp;""),0))</f>
        <v/>
      </c>
      <c r="H35" s="6">
        <f>IF($A35="","",IFERROR(SUMIFS(Imported!$H$2:$H$151,Imported!$B$2:$B$151,$B35&amp;"",Imported!$C$2:$C$151,$C35&amp;""),0))</f>
        <v/>
      </c>
    </row>
    <row r="36">
      <c r="A36" s="6">
        <f>IF(Roster!A36="","",Roster!A36)</f>
        <v/>
      </c>
      <c r="B36" s="6">
        <f>IF($A36="","",Roster!B36)</f>
        <v/>
      </c>
      <c r="C36" s="6">
        <f>IF($A36="","",Roster!C36)</f>
        <v/>
      </c>
      <c r="D36" s="6">
        <f>IF($A36="","",IFERROR(SUMIFS(Imported!$D$2:$D$151,Imported!$B$2:$B$151,$B36&amp;"",Imported!$C$2:$C$151,$C36&amp;""),0))</f>
        <v/>
      </c>
      <c r="E36" s="6">
        <f>IF($A36="","",IFERROR(SUMIFS(Imported!$E$2:$E$151,Imported!$B$2:$B$151,$B36&amp;"",Imported!$C$2:$C$151,$C36&amp;""),0))</f>
        <v/>
      </c>
      <c r="F36" s="15">
        <f>IF($A36="","",IFERROR(SUMIFS(Imported!$F$2:$F$151,Imported!$B$2:$B$151,$B36&amp;"",Imported!$C$2:$C$151,$C36&amp;""),0))</f>
        <v/>
      </c>
      <c r="G36" s="6">
        <f>IF($A36="","",IFERROR(SUMIFS(Imported!$G$2:$G$151,Imported!$B$2:$B$151,$B36&amp;"",Imported!$C$2:$C$151,$C36&amp;""),0))</f>
        <v/>
      </c>
      <c r="H36" s="6">
        <f>IF($A36="","",IFERROR(SUMIFS(Imported!$H$2:$H$151,Imported!$B$2:$B$151,$B36&amp;"",Imported!$C$2:$C$151,$C36&amp;""),0))</f>
        <v/>
      </c>
    </row>
    <row r="37">
      <c r="A37" s="6">
        <f>IF(Roster!A37="","",Roster!A37)</f>
        <v/>
      </c>
      <c r="B37" s="6">
        <f>IF($A37="","",Roster!B37)</f>
        <v/>
      </c>
      <c r="C37" s="6">
        <f>IF($A37="","",Roster!C37)</f>
        <v/>
      </c>
      <c r="D37" s="6">
        <f>IF($A37="","",IFERROR(SUMIFS(Imported!$D$2:$D$151,Imported!$B$2:$B$151,$B37&amp;"",Imported!$C$2:$C$151,$C37&amp;""),0))</f>
        <v/>
      </c>
      <c r="E37" s="6">
        <f>IF($A37="","",IFERROR(SUMIFS(Imported!$E$2:$E$151,Imported!$B$2:$B$151,$B37&amp;"",Imported!$C$2:$C$151,$C37&amp;""),0))</f>
        <v/>
      </c>
      <c r="F37" s="15">
        <f>IF($A37="","",IFERROR(SUMIFS(Imported!$F$2:$F$151,Imported!$B$2:$B$151,$B37&amp;"",Imported!$C$2:$C$151,$C37&amp;""),0))</f>
        <v/>
      </c>
      <c r="G37" s="6">
        <f>IF($A37="","",IFERROR(SUMIFS(Imported!$G$2:$G$151,Imported!$B$2:$B$151,$B37&amp;"",Imported!$C$2:$C$151,$C37&amp;""),0))</f>
        <v/>
      </c>
      <c r="H37" s="6">
        <f>IF($A37="","",IFERROR(SUMIFS(Imported!$H$2:$H$151,Imported!$B$2:$B$151,$B37&amp;"",Imported!$C$2:$C$151,$C37&amp;""),0))</f>
        <v/>
      </c>
    </row>
    <row r="38">
      <c r="A38" s="6">
        <f>IF(Roster!A38="","",Roster!A38)</f>
        <v/>
      </c>
      <c r="B38" s="6">
        <f>IF($A38="","",Roster!B38)</f>
        <v/>
      </c>
      <c r="C38" s="6">
        <f>IF($A38="","",Roster!C38)</f>
        <v/>
      </c>
      <c r="D38" s="6">
        <f>IF($A38="","",IFERROR(SUMIFS(Imported!$D$2:$D$151,Imported!$B$2:$B$151,$B38&amp;"",Imported!$C$2:$C$151,$C38&amp;""),0))</f>
        <v/>
      </c>
      <c r="E38" s="6">
        <f>IF($A38="","",IFERROR(SUMIFS(Imported!$E$2:$E$151,Imported!$B$2:$B$151,$B38&amp;"",Imported!$C$2:$C$151,$C38&amp;""),0))</f>
        <v/>
      </c>
      <c r="F38" s="15">
        <f>IF($A38="","",IFERROR(SUMIFS(Imported!$F$2:$F$151,Imported!$B$2:$B$151,$B38&amp;"",Imported!$C$2:$C$151,$C38&amp;""),0))</f>
        <v/>
      </c>
      <c r="G38" s="6">
        <f>IF($A38="","",IFERROR(SUMIFS(Imported!$G$2:$G$151,Imported!$B$2:$B$151,$B38&amp;"",Imported!$C$2:$C$151,$C38&amp;""),0))</f>
        <v/>
      </c>
      <c r="H38" s="6">
        <f>IF($A38="","",IFERROR(SUMIFS(Imported!$H$2:$H$151,Imported!$B$2:$B$151,$B38&amp;"",Imported!$C$2:$C$151,$C38&amp;""),0))</f>
        <v/>
      </c>
    </row>
    <row r="39">
      <c r="A39" s="6">
        <f>IF(Roster!A39="","",Roster!A39)</f>
        <v/>
      </c>
      <c r="B39" s="6">
        <f>IF($A39="","",Roster!B39)</f>
        <v/>
      </c>
      <c r="C39" s="6">
        <f>IF($A39="","",Roster!C39)</f>
        <v/>
      </c>
      <c r="D39" s="6">
        <f>IF($A39="","",IFERROR(SUMIFS(Imported!$D$2:$D$151,Imported!$B$2:$B$151,$B39&amp;"",Imported!$C$2:$C$151,$C39&amp;""),0))</f>
        <v/>
      </c>
      <c r="E39" s="6">
        <f>IF($A39="","",IFERROR(SUMIFS(Imported!$E$2:$E$151,Imported!$B$2:$B$151,$B39&amp;"",Imported!$C$2:$C$151,$C39&amp;""),0))</f>
        <v/>
      </c>
      <c r="F39" s="15">
        <f>IF($A39="","",IFERROR(SUMIFS(Imported!$F$2:$F$151,Imported!$B$2:$B$151,$B39&amp;"",Imported!$C$2:$C$151,$C39&amp;""),0))</f>
        <v/>
      </c>
      <c r="G39" s="6">
        <f>IF($A39="","",IFERROR(SUMIFS(Imported!$G$2:$G$151,Imported!$B$2:$B$151,$B39&amp;"",Imported!$C$2:$C$151,$C39&amp;""),0))</f>
        <v/>
      </c>
      <c r="H39" s="6">
        <f>IF($A39="","",IFERROR(SUMIFS(Imported!$H$2:$H$151,Imported!$B$2:$B$151,$B39&amp;"",Imported!$C$2:$C$151,$C39&amp;""),0))</f>
        <v/>
      </c>
    </row>
    <row r="40">
      <c r="A40" s="6">
        <f>IF(Roster!A40="","",Roster!A40)</f>
        <v/>
      </c>
      <c r="B40" s="6">
        <f>IF($A40="","",Roster!B40)</f>
        <v/>
      </c>
      <c r="C40" s="6">
        <f>IF($A40="","",Roster!C40)</f>
        <v/>
      </c>
      <c r="D40" s="6">
        <f>IF($A40="","",IFERROR(SUMIFS(Imported!$D$2:$D$151,Imported!$B$2:$B$151,$B40&amp;"",Imported!$C$2:$C$151,$C40&amp;""),0))</f>
        <v/>
      </c>
      <c r="E40" s="6">
        <f>IF($A40="","",IFERROR(SUMIFS(Imported!$E$2:$E$151,Imported!$B$2:$B$151,$B40&amp;"",Imported!$C$2:$C$151,$C40&amp;""),0))</f>
        <v/>
      </c>
      <c r="F40" s="15">
        <f>IF($A40="","",IFERROR(SUMIFS(Imported!$F$2:$F$151,Imported!$B$2:$B$151,$B40&amp;"",Imported!$C$2:$C$151,$C40&amp;""),0))</f>
        <v/>
      </c>
      <c r="G40" s="6">
        <f>IF($A40="","",IFERROR(SUMIFS(Imported!$G$2:$G$151,Imported!$B$2:$B$151,$B40&amp;"",Imported!$C$2:$C$151,$C40&amp;""),0))</f>
        <v/>
      </c>
      <c r="H40" s="6">
        <f>IF($A40="","",IFERROR(SUMIFS(Imported!$H$2:$H$151,Imported!$B$2:$B$151,$B40&amp;"",Imported!$C$2:$C$151,$C40&amp;""),0))</f>
        <v/>
      </c>
    </row>
    <row r="41">
      <c r="A41">
        <f>IF(Roster!A41="","",Roster!A41)</f>
        <v/>
      </c>
      <c r="B41">
        <f>IF($A41="","",Roster!B41)</f>
        <v/>
      </c>
      <c r="C41">
        <f>IF($A41="","",Roster!C41)</f>
        <v/>
      </c>
      <c r="D41">
        <f>IF($A41="","",IFERROR(SUMIFS(Imported!$D$2:$D$151,Imported!$B$2:$B$151,$B41&amp;"",Imported!$C$2:$C$151,$C41&amp;""),0))</f>
        <v/>
      </c>
      <c r="E41">
        <f>IF($A41="","",IFERROR(SUMIFS(Imported!$E$2:$E$151,Imported!$B$2:$B$151,$B41&amp;"",Imported!$C$2:$C$151,$C41&amp;""),0))</f>
        <v/>
      </c>
      <c r="F41" s="16">
        <f>IF($A41="","",IFERROR(SUMIFS(Imported!$F$2:$F$151,Imported!$B$2:$B$151,$B41&amp;"",Imported!$C$2:$C$151,$C41&amp;""),0))</f>
        <v/>
      </c>
      <c r="G41">
        <f>IF($A41="","",IFERROR(SUMIFS(Imported!$G$2:$G$151,Imported!$B$2:$B$151,$B41&amp;"",Imported!$C$2:$C$151,$C41&amp;""),0))</f>
        <v/>
      </c>
      <c r="H41">
        <f>IF($A41="","",IFERROR(SUMIFS(Imported!$H$2:$H$151,Imported!$B$2:$B$151,$B41&amp;"",Imported!$C$2:$C$151,$C41&amp;""),0))</f>
        <v/>
      </c>
    </row>
    <row r="42">
      <c r="A42">
        <f>IF(Roster!A42="","",Roster!A42)</f>
        <v/>
      </c>
      <c r="B42">
        <f>IF($A42="","",Roster!B42)</f>
        <v/>
      </c>
      <c r="C42">
        <f>IF($A42="","",Roster!C42)</f>
        <v/>
      </c>
      <c r="D42">
        <f>IF($A42="","",IFERROR(SUMIFS(Imported!$D$2:$D$151,Imported!$B$2:$B$151,$B42&amp;"",Imported!$C$2:$C$151,$C42&amp;""),0))</f>
        <v/>
      </c>
      <c r="E42">
        <f>IF($A42="","",IFERROR(SUMIFS(Imported!$E$2:$E$151,Imported!$B$2:$B$151,$B42&amp;"",Imported!$C$2:$C$151,$C42&amp;""),0))</f>
        <v/>
      </c>
      <c r="F42" s="16">
        <f>IF($A42="","",IFERROR(SUMIFS(Imported!$F$2:$F$151,Imported!$B$2:$B$151,$B42&amp;"",Imported!$C$2:$C$151,$C42&amp;""),0))</f>
        <v/>
      </c>
      <c r="G42">
        <f>IF($A42="","",IFERROR(SUMIFS(Imported!$G$2:$G$151,Imported!$B$2:$B$151,$B42&amp;"",Imported!$C$2:$C$151,$C42&amp;""),0))</f>
        <v/>
      </c>
      <c r="H42">
        <f>IF($A42="","",IFERROR(SUMIFS(Imported!$H$2:$H$151,Imported!$B$2:$B$151,$B42&amp;"",Imported!$C$2:$C$151,$C42&amp;""),0))</f>
        <v/>
      </c>
    </row>
    <row r="43">
      <c r="A43">
        <f>IF(Roster!A43="","",Roster!A43)</f>
        <v/>
      </c>
      <c r="B43">
        <f>IF($A43="","",Roster!B43)</f>
        <v/>
      </c>
      <c r="C43">
        <f>IF($A43="","",Roster!C43)</f>
        <v/>
      </c>
      <c r="D43">
        <f>IF($A43="","",IFERROR(SUMIFS(Imported!$D$2:$D$151,Imported!$B$2:$B$151,$B43&amp;"",Imported!$C$2:$C$151,$C43&amp;""),0))</f>
        <v/>
      </c>
      <c r="E43">
        <f>IF($A43="","",IFERROR(SUMIFS(Imported!$E$2:$E$151,Imported!$B$2:$B$151,$B43&amp;"",Imported!$C$2:$C$151,$C43&amp;""),0))</f>
        <v/>
      </c>
      <c r="F43" s="16">
        <f>IF($A43="","",IFERROR(SUMIFS(Imported!$F$2:$F$151,Imported!$B$2:$B$151,$B43&amp;"",Imported!$C$2:$C$151,$C43&amp;""),0))</f>
        <v/>
      </c>
      <c r="G43">
        <f>IF($A43="","",IFERROR(SUMIFS(Imported!$G$2:$G$151,Imported!$B$2:$B$151,$B43&amp;"",Imported!$C$2:$C$151,$C43&amp;""),0))</f>
        <v/>
      </c>
      <c r="H43">
        <f>IF($A43="","",IFERROR(SUMIFS(Imported!$H$2:$H$151,Imported!$B$2:$B$151,$B43&amp;"",Imported!$C$2:$C$151,$C43&amp;""),0))</f>
        <v/>
      </c>
    </row>
    <row r="44">
      <c r="A44">
        <f>IF(Roster!A44="","",Roster!A44)</f>
        <v/>
      </c>
      <c r="B44">
        <f>IF($A44="","",Roster!B44)</f>
        <v/>
      </c>
      <c r="C44">
        <f>IF($A44="","",Roster!C44)</f>
        <v/>
      </c>
      <c r="D44">
        <f>IF($A44="","",IFERROR(SUMIFS(Imported!$D$2:$D$151,Imported!$B$2:$B$151,$B44&amp;"",Imported!$C$2:$C$151,$C44&amp;""),0))</f>
        <v/>
      </c>
      <c r="E44">
        <f>IF($A44="","",IFERROR(SUMIFS(Imported!$E$2:$E$151,Imported!$B$2:$B$151,$B44&amp;"",Imported!$C$2:$C$151,$C44&amp;""),0))</f>
        <v/>
      </c>
      <c r="F44" s="16">
        <f>IF($A44="","",IFERROR(SUMIFS(Imported!$F$2:$F$151,Imported!$B$2:$B$151,$B44&amp;"",Imported!$C$2:$C$151,$C44&amp;""),0))</f>
        <v/>
      </c>
      <c r="G44">
        <f>IF($A44="","",IFERROR(SUMIFS(Imported!$G$2:$G$151,Imported!$B$2:$B$151,$B44&amp;"",Imported!$C$2:$C$151,$C44&amp;""),0))</f>
        <v/>
      </c>
      <c r="H44">
        <f>IF($A44="","",IFERROR(SUMIFS(Imported!$H$2:$H$151,Imported!$B$2:$B$151,$B44&amp;"",Imported!$C$2:$C$151,$C44&amp;""),0))</f>
        <v/>
      </c>
    </row>
    <row r="45">
      <c r="A45">
        <f>IF(Roster!A45="","",Roster!A45)</f>
        <v/>
      </c>
      <c r="B45">
        <f>IF($A45="","",Roster!B45)</f>
        <v/>
      </c>
      <c r="C45">
        <f>IF($A45="","",Roster!C45)</f>
        <v/>
      </c>
      <c r="D45">
        <f>IF($A45="","",IFERROR(SUMIFS(Imported!$D$2:$D$151,Imported!$B$2:$B$151,$B45&amp;"",Imported!$C$2:$C$151,$C45&amp;""),0))</f>
        <v/>
      </c>
      <c r="E45">
        <f>IF($A45="","",IFERROR(SUMIFS(Imported!$E$2:$E$151,Imported!$B$2:$B$151,$B45&amp;"",Imported!$C$2:$C$151,$C45&amp;""),0))</f>
        <v/>
      </c>
      <c r="F45" s="16">
        <f>IF($A45="","",IFERROR(SUMIFS(Imported!$F$2:$F$151,Imported!$B$2:$B$151,$B45&amp;"",Imported!$C$2:$C$151,$C45&amp;""),0))</f>
        <v/>
      </c>
      <c r="G45">
        <f>IF($A45="","",IFERROR(SUMIFS(Imported!$G$2:$G$151,Imported!$B$2:$B$151,$B45&amp;"",Imported!$C$2:$C$151,$C45&amp;""),0))</f>
        <v/>
      </c>
      <c r="H45">
        <f>IF($A45="","",IFERROR(SUMIFS(Imported!$H$2:$H$151,Imported!$B$2:$B$151,$B45&amp;"",Imported!$C$2:$C$151,$C45&amp;""),0))</f>
        <v/>
      </c>
    </row>
    <row r="46">
      <c r="A46">
        <f>IF(Roster!A46="","",Roster!A46)</f>
        <v/>
      </c>
      <c r="B46">
        <f>IF($A46="","",Roster!B46)</f>
        <v/>
      </c>
      <c r="C46">
        <f>IF($A46="","",Roster!C46)</f>
        <v/>
      </c>
      <c r="D46">
        <f>IF($A46="","",IFERROR(SUMIFS(Imported!$D$2:$D$151,Imported!$B$2:$B$151,$B46&amp;"",Imported!$C$2:$C$151,$C46&amp;""),0))</f>
        <v/>
      </c>
      <c r="E46">
        <f>IF($A46="","",IFERROR(SUMIFS(Imported!$E$2:$E$151,Imported!$B$2:$B$151,$B46&amp;"",Imported!$C$2:$C$151,$C46&amp;""),0))</f>
        <v/>
      </c>
      <c r="F46" s="16">
        <f>IF($A46="","",IFERROR(SUMIFS(Imported!$F$2:$F$151,Imported!$B$2:$B$151,$B46&amp;"",Imported!$C$2:$C$151,$C46&amp;""),0))</f>
        <v/>
      </c>
      <c r="G46">
        <f>IF($A46="","",IFERROR(SUMIFS(Imported!$G$2:$G$151,Imported!$B$2:$B$151,$B46&amp;"",Imported!$C$2:$C$151,$C46&amp;""),0))</f>
        <v/>
      </c>
      <c r="H46">
        <f>IF($A46="","",IFERROR(SUMIFS(Imported!$H$2:$H$151,Imported!$B$2:$B$151,$B46&amp;"",Imported!$C$2:$C$151,$C46&amp;""),0))</f>
        <v/>
      </c>
    </row>
    <row r="47">
      <c r="A47">
        <f>IF(Roster!A47="","",Roster!A47)</f>
        <v/>
      </c>
      <c r="B47">
        <f>IF($A47="","",Roster!B47)</f>
        <v/>
      </c>
      <c r="C47">
        <f>IF($A47="","",Roster!C47)</f>
        <v/>
      </c>
      <c r="D47">
        <f>IF($A47="","",IFERROR(SUMIFS(Imported!$D$2:$D$151,Imported!$B$2:$B$151,$B47&amp;"",Imported!$C$2:$C$151,$C47&amp;""),0))</f>
        <v/>
      </c>
      <c r="E47">
        <f>IF($A47="","",IFERROR(SUMIFS(Imported!$E$2:$E$151,Imported!$B$2:$B$151,$B47&amp;"",Imported!$C$2:$C$151,$C47&amp;""),0))</f>
        <v/>
      </c>
      <c r="F47" s="16">
        <f>IF($A47="","",IFERROR(SUMIFS(Imported!$F$2:$F$151,Imported!$B$2:$B$151,$B47&amp;"",Imported!$C$2:$C$151,$C47&amp;""),0))</f>
        <v/>
      </c>
      <c r="G47">
        <f>IF($A47="","",IFERROR(SUMIFS(Imported!$G$2:$G$151,Imported!$B$2:$B$151,$B47&amp;"",Imported!$C$2:$C$151,$C47&amp;""),0))</f>
        <v/>
      </c>
      <c r="H47">
        <f>IF($A47="","",IFERROR(SUMIFS(Imported!$H$2:$H$151,Imported!$B$2:$B$151,$B47&amp;"",Imported!$C$2:$C$151,$C47&amp;""),0))</f>
        <v/>
      </c>
    </row>
    <row r="48">
      <c r="A48">
        <f>IF(Roster!A48="","",Roster!A48)</f>
        <v/>
      </c>
      <c r="B48">
        <f>IF($A48="","",Roster!B48)</f>
        <v/>
      </c>
      <c r="C48">
        <f>IF($A48="","",Roster!C48)</f>
        <v/>
      </c>
      <c r="D48">
        <f>IF($A48="","",IFERROR(SUMIFS(Imported!$D$2:$D$151,Imported!$B$2:$B$151,$B48&amp;"",Imported!$C$2:$C$151,$C48&amp;""),0))</f>
        <v/>
      </c>
      <c r="E48">
        <f>IF($A48="","",IFERROR(SUMIFS(Imported!$E$2:$E$151,Imported!$B$2:$B$151,$B48&amp;"",Imported!$C$2:$C$151,$C48&amp;""),0))</f>
        <v/>
      </c>
      <c r="F48" s="16">
        <f>IF($A48="","",IFERROR(SUMIFS(Imported!$F$2:$F$151,Imported!$B$2:$B$151,$B48&amp;"",Imported!$C$2:$C$151,$C48&amp;""),0))</f>
        <v/>
      </c>
      <c r="G48">
        <f>IF($A48="","",IFERROR(SUMIFS(Imported!$G$2:$G$151,Imported!$B$2:$B$151,$B48&amp;"",Imported!$C$2:$C$151,$C48&amp;""),0))</f>
        <v/>
      </c>
      <c r="H48">
        <f>IF($A48="","",IFERROR(SUMIFS(Imported!$H$2:$H$151,Imported!$B$2:$B$151,$B48&amp;"",Imported!$C$2:$C$151,$C48&amp;""),0))</f>
        <v/>
      </c>
    </row>
    <row r="49">
      <c r="A49">
        <f>IF(Roster!A49="","",Roster!A49)</f>
        <v/>
      </c>
      <c r="B49">
        <f>IF($A49="","",Roster!B49)</f>
        <v/>
      </c>
      <c r="C49">
        <f>IF($A49="","",Roster!C49)</f>
        <v/>
      </c>
      <c r="D49">
        <f>IF($A49="","",IFERROR(SUMIFS(Imported!$D$2:$D$151,Imported!$B$2:$B$151,$B49&amp;"",Imported!$C$2:$C$151,$C49&amp;""),0))</f>
        <v/>
      </c>
      <c r="E49">
        <f>IF($A49="","",IFERROR(SUMIFS(Imported!$E$2:$E$151,Imported!$B$2:$B$151,$B49&amp;"",Imported!$C$2:$C$151,$C49&amp;""),0))</f>
        <v/>
      </c>
      <c r="F49" s="16">
        <f>IF($A49="","",IFERROR(SUMIFS(Imported!$F$2:$F$151,Imported!$B$2:$B$151,$B49&amp;"",Imported!$C$2:$C$151,$C49&amp;""),0))</f>
        <v/>
      </c>
      <c r="G49">
        <f>IF($A49="","",IFERROR(SUMIFS(Imported!$G$2:$G$151,Imported!$B$2:$B$151,$B49&amp;"",Imported!$C$2:$C$151,$C49&amp;""),0))</f>
        <v/>
      </c>
      <c r="H49">
        <f>IF($A49="","",IFERROR(SUMIFS(Imported!$H$2:$H$151,Imported!$B$2:$B$151,$B49&amp;"",Imported!$C$2:$C$151,$C49&amp;""),0))</f>
        <v/>
      </c>
    </row>
    <row r="50">
      <c r="A50">
        <f>IF(Roster!A50="","",Roster!A50)</f>
        <v/>
      </c>
      <c r="B50">
        <f>IF($A50="","",Roster!B50)</f>
        <v/>
      </c>
      <c r="C50">
        <f>IF($A50="","",Roster!C50)</f>
        <v/>
      </c>
      <c r="D50">
        <f>IF($A50="","",IFERROR(SUMIFS(Imported!$D$2:$D$151,Imported!$B$2:$B$151,$B50&amp;"",Imported!$C$2:$C$151,$C50&amp;""),0))</f>
        <v/>
      </c>
      <c r="E50">
        <f>IF($A50="","",IFERROR(SUMIFS(Imported!$E$2:$E$151,Imported!$B$2:$B$151,$B50&amp;"",Imported!$C$2:$C$151,$C50&amp;""),0))</f>
        <v/>
      </c>
      <c r="F50" s="16">
        <f>IF($A50="","",IFERROR(SUMIFS(Imported!$F$2:$F$151,Imported!$B$2:$B$151,$B50&amp;"",Imported!$C$2:$C$151,$C50&amp;""),0))</f>
        <v/>
      </c>
      <c r="G50">
        <f>IF($A50="","",IFERROR(SUMIFS(Imported!$G$2:$G$151,Imported!$B$2:$B$151,$B50&amp;"",Imported!$C$2:$C$151,$C50&amp;""),0))</f>
        <v/>
      </c>
      <c r="H50">
        <f>IF($A50="","",IFERROR(SUMIFS(Imported!$H$2:$H$151,Imported!$B$2:$B$151,$B50&amp;"",Imported!$C$2:$C$151,$C50&amp;""),0))</f>
        <v/>
      </c>
    </row>
    <row r="51">
      <c r="A51">
        <f>IF(Roster!A51="","",Roster!A51)</f>
        <v/>
      </c>
      <c r="B51">
        <f>IF($A51="","",Roster!B51)</f>
        <v/>
      </c>
      <c r="C51">
        <f>IF($A51="","",Roster!C51)</f>
        <v/>
      </c>
      <c r="D51">
        <f>IF($A51="","",IFERROR(SUMIFS(Imported!$D$2:$D$151,Imported!$B$2:$B$151,$B51&amp;"",Imported!$C$2:$C$151,$C51&amp;""),0))</f>
        <v/>
      </c>
      <c r="E51">
        <f>IF($A51="","",IFERROR(SUMIFS(Imported!$E$2:$E$151,Imported!$B$2:$B$151,$B51&amp;"",Imported!$C$2:$C$151,$C51&amp;""),0))</f>
        <v/>
      </c>
      <c r="F51" s="16">
        <f>IF($A51="","",IFERROR(SUMIFS(Imported!$F$2:$F$151,Imported!$B$2:$B$151,$B51&amp;"",Imported!$C$2:$C$151,$C51&amp;""),0))</f>
        <v/>
      </c>
      <c r="G51">
        <f>IF($A51="","",IFERROR(SUMIFS(Imported!$G$2:$G$151,Imported!$B$2:$B$151,$B51&amp;"",Imported!$C$2:$C$151,$C51&amp;""),0))</f>
        <v/>
      </c>
      <c r="H51">
        <f>IF($A51="","",IFERROR(SUMIFS(Imported!$H$2:$H$151,Imported!$B$2:$B$151,$B51&amp;"",Imported!$C$2:$C$151,$C51&amp;""),0))</f>
        <v/>
      </c>
    </row>
    <row r="52">
      <c r="A52">
        <f>IF(Roster!A52="","",Roster!A52)</f>
        <v/>
      </c>
      <c r="B52">
        <f>IF($A52="","",Roster!B52)</f>
        <v/>
      </c>
      <c r="C52">
        <f>IF($A52="","",Roster!C52)</f>
        <v/>
      </c>
      <c r="D52">
        <f>IF($A52="","",IFERROR(SUMIFS(Imported!$D$2:$D$151,Imported!$B$2:$B$151,$B52&amp;"",Imported!$C$2:$C$151,$C52&amp;""),0))</f>
        <v/>
      </c>
      <c r="E52">
        <f>IF($A52="","",IFERROR(SUMIFS(Imported!$E$2:$E$151,Imported!$B$2:$B$151,$B52&amp;"",Imported!$C$2:$C$151,$C52&amp;""),0))</f>
        <v/>
      </c>
      <c r="F52" s="16">
        <f>IF($A52="","",IFERROR(SUMIFS(Imported!$F$2:$F$151,Imported!$B$2:$B$151,$B52&amp;"",Imported!$C$2:$C$151,$C52&amp;""),0))</f>
        <v/>
      </c>
      <c r="G52">
        <f>IF($A52="","",IFERROR(SUMIFS(Imported!$G$2:$G$151,Imported!$B$2:$B$151,$B52&amp;"",Imported!$C$2:$C$151,$C52&amp;""),0))</f>
        <v/>
      </c>
      <c r="H52">
        <f>IF($A52="","",IFERROR(SUMIFS(Imported!$H$2:$H$151,Imported!$B$2:$B$151,$B52&amp;"",Imported!$C$2:$C$151,$C52&amp;""),0))</f>
        <v/>
      </c>
    </row>
    <row r="53">
      <c r="A53">
        <f>IF(Roster!A53="","",Roster!A53)</f>
        <v/>
      </c>
      <c r="B53">
        <f>IF($A53="","",Roster!B53)</f>
        <v/>
      </c>
      <c r="C53">
        <f>IF($A53="","",Roster!C53)</f>
        <v/>
      </c>
      <c r="D53">
        <f>IF($A53="","",IFERROR(SUMIFS(Imported!$D$2:$D$151,Imported!$B$2:$B$151,$B53&amp;"",Imported!$C$2:$C$151,$C53&amp;""),0))</f>
        <v/>
      </c>
      <c r="E53">
        <f>IF($A53="","",IFERROR(SUMIFS(Imported!$E$2:$E$151,Imported!$B$2:$B$151,$B53&amp;"",Imported!$C$2:$C$151,$C53&amp;""),0))</f>
        <v/>
      </c>
      <c r="F53" s="16">
        <f>IF($A53="","",IFERROR(SUMIFS(Imported!$F$2:$F$151,Imported!$B$2:$B$151,$B53&amp;"",Imported!$C$2:$C$151,$C53&amp;""),0))</f>
        <v/>
      </c>
      <c r="G53">
        <f>IF($A53="","",IFERROR(SUMIFS(Imported!$G$2:$G$151,Imported!$B$2:$B$151,$B53&amp;"",Imported!$C$2:$C$151,$C53&amp;""),0))</f>
        <v/>
      </c>
      <c r="H53">
        <f>IF($A53="","",IFERROR(SUMIFS(Imported!$H$2:$H$151,Imported!$B$2:$B$151,$B53&amp;"",Imported!$C$2:$C$151,$C53&amp;""),0))</f>
        <v/>
      </c>
    </row>
    <row r="54">
      <c r="A54">
        <f>IF(Roster!A54="","",Roster!A54)</f>
        <v/>
      </c>
      <c r="B54">
        <f>IF($A54="","",Roster!B54)</f>
        <v/>
      </c>
      <c r="C54">
        <f>IF($A54="","",Roster!C54)</f>
        <v/>
      </c>
      <c r="D54">
        <f>IF($A54="","",IFERROR(SUMIFS(Imported!$D$2:$D$151,Imported!$B$2:$B$151,$B54&amp;"",Imported!$C$2:$C$151,$C54&amp;""),0))</f>
        <v/>
      </c>
      <c r="E54">
        <f>IF($A54="","",IFERROR(SUMIFS(Imported!$E$2:$E$151,Imported!$B$2:$B$151,$B54&amp;"",Imported!$C$2:$C$151,$C54&amp;""),0))</f>
        <v/>
      </c>
      <c r="F54" s="16">
        <f>IF($A54="","",IFERROR(SUMIFS(Imported!$F$2:$F$151,Imported!$B$2:$B$151,$B54&amp;"",Imported!$C$2:$C$151,$C54&amp;""),0))</f>
        <v/>
      </c>
      <c r="G54">
        <f>IF($A54="","",IFERROR(SUMIFS(Imported!$G$2:$G$151,Imported!$B$2:$B$151,$B54&amp;"",Imported!$C$2:$C$151,$C54&amp;""),0))</f>
        <v/>
      </c>
      <c r="H54">
        <f>IF($A54="","",IFERROR(SUMIFS(Imported!$H$2:$H$151,Imported!$B$2:$B$151,$B54&amp;"",Imported!$C$2:$C$151,$C54&amp;""),0))</f>
        <v/>
      </c>
    </row>
    <row r="55">
      <c r="A55">
        <f>IF(Roster!A55="","",Roster!A55)</f>
        <v/>
      </c>
      <c r="B55">
        <f>IF($A55="","",Roster!B55)</f>
        <v/>
      </c>
      <c r="C55">
        <f>IF($A55="","",Roster!C55)</f>
        <v/>
      </c>
      <c r="D55">
        <f>IF($A55="","",IFERROR(SUMIFS(Imported!$D$2:$D$151,Imported!$B$2:$B$151,$B55&amp;"",Imported!$C$2:$C$151,$C55&amp;""),0))</f>
        <v/>
      </c>
      <c r="E55">
        <f>IF($A55="","",IFERROR(SUMIFS(Imported!$E$2:$E$151,Imported!$B$2:$B$151,$B55&amp;"",Imported!$C$2:$C$151,$C55&amp;""),0))</f>
        <v/>
      </c>
      <c r="F55" s="16">
        <f>IF($A55="","",IFERROR(SUMIFS(Imported!$F$2:$F$151,Imported!$B$2:$B$151,$B55&amp;"",Imported!$C$2:$C$151,$C55&amp;""),0))</f>
        <v/>
      </c>
      <c r="G55">
        <f>IF($A55="","",IFERROR(SUMIFS(Imported!$G$2:$G$151,Imported!$B$2:$B$151,$B55&amp;"",Imported!$C$2:$C$151,$C55&amp;""),0))</f>
        <v/>
      </c>
      <c r="H55">
        <f>IF($A55="","",IFERROR(SUMIFS(Imported!$H$2:$H$151,Imported!$B$2:$B$151,$B55&amp;"",Imported!$C$2:$C$151,$C55&amp;""),0))</f>
        <v/>
      </c>
    </row>
    <row r="56">
      <c r="A56">
        <f>IF(Roster!A56="","",Roster!A56)</f>
        <v/>
      </c>
      <c r="B56">
        <f>IF($A56="","",Roster!B56)</f>
        <v/>
      </c>
      <c r="C56">
        <f>IF($A56="","",Roster!C56)</f>
        <v/>
      </c>
      <c r="D56">
        <f>IF($A56="","",IFERROR(SUMIFS(Imported!$D$2:$D$151,Imported!$B$2:$B$151,$B56&amp;"",Imported!$C$2:$C$151,$C56&amp;""),0))</f>
        <v/>
      </c>
      <c r="E56">
        <f>IF($A56="","",IFERROR(SUMIFS(Imported!$E$2:$E$151,Imported!$B$2:$B$151,$B56&amp;"",Imported!$C$2:$C$151,$C56&amp;""),0))</f>
        <v/>
      </c>
      <c r="F56" s="16">
        <f>IF($A56="","",IFERROR(SUMIFS(Imported!$F$2:$F$151,Imported!$B$2:$B$151,$B56&amp;"",Imported!$C$2:$C$151,$C56&amp;""),0))</f>
        <v/>
      </c>
      <c r="G56">
        <f>IF($A56="","",IFERROR(SUMIFS(Imported!$G$2:$G$151,Imported!$B$2:$B$151,$B56&amp;"",Imported!$C$2:$C$151,$C56&amp;""),0))</f>
        <v/>
      </c>
      <c r="H56">
        <f>IF($A56="","",IFERROR(SUMIFS(Imported!$H$2:$H$151,Imported!$B$2:$B$151,$B56&amp;"",Imported!$C$2:$C$151,$C56&amp;""),0))</f>
        <v/>
      </c>
    </row>
    <row r="57">
      <c r="A57">
        <f>IF(Roster!A57="","",Roster!A57)</f>
        <v/>
      </c>
      <c r="B57">
        <f>IF($A57="","",Roster!B57)</f>
        <v/>
      </c>
      <c r="C57">
        <f>IF($A57="","",Roster!C57)</f>
        <v/>
      </c>
      <c r="D57">
        <f>IF($A57="","",IFERROR(SUMIFS(Imported!$D$2:$D$151,Imported!$B$2:$B$151,$B57&amp;"",Imported!$C$2:$C$151,$C57&amp;""),0))</f>
        <v/>
      </c>
      <c r="E57">
        <f>IF($A57="","",IFERROR(SUMIFS(Imported!$E$2:$E$151,Imported!$B$2:$B$151,$B57&amp;"",Imported!$C$2:$C$151,$C57&amp;""),0))</f>
        <v/>
      </c>
      <c r="F57" s="16">
        <f>IF($A57="","",IFERROR(SUMIFS(Imported!$F$2:$F$151,Imported!$B$2:$B$151,$B57&amp;"",Imported!$C$2:$C$151,$C57&amp;""),0))</f>
        <v/>
      </c>
      <c r="G57">
        <f>IF($A57="","",IFERROR(SUMIFS(Imported!$G$2:$G$151,Imported!$B$2:$B$151,$B57&amp;"",Imported!$C$2:$C$151,$C57&amp;""),0))</f>
        <v/>
      </c>
      <c r="H57">
        <f>IF($A57="","",IFERROR(SUMIFS(Imported!$H$2:$H$151,Imported!$B$2:$B$151,$B57&amp;"",Imported!$C$2:$C$151,$C57&amp;""),0))</f>
        <v/>
      </c>
    </row>
    <row r="58">
      <c r="A58">
        <f>IF(Roster!A58="","",Roster!A58)</f>
        <v/>
      </c>
      <c r="B58">
        <f>IF($A58="","",Roster!B58)</f>
        <v/>
      </c>
      <c r="C58">
        <f>IF($A58="","",Roster!C58)</f>
        <v/>
      </c>
      <c r="D58">
        <f>IF($A58="","",IFERROR(SUMIFS(Imported!$D$2:$D$151,Imported!$B$2:$B$151,$B58&amp;"",Imported!$C$2:$C$151,$C58&amp;""),0))</f>
        <v/>
      </c>
      <c r="E58">
        <f>IF($A58="","",IFERROR(SUMIFS(Imported!$E$2:$E$151,Imported!$B$2:$B$151,$B58&amp;"",Imported!$C$2:$C$151,$C58&amp;""),0))</f>
        <v/>
      </c>
      <c r="F58" s="16">
        <f>IF($A58="","",IFERROR(SUMIFS(Imported!$F$2:$F$151,Imported!$B$2:$B$151,$B58&amp;"",Imported!$C$2:$C$151,$C58&amp;""),0))</f>
        <v/>
      </c>
      <c r="G58">
        <f>IF($A58="","",IFERROR(SUMIFS(Imported!$G$2:$G$151,Imported!$B$2:$B$151,$B58&amp;"",Imported!$C$2:$C$151,$C58&amp;""),0))</f>
        <v/>
      </c>
      <c r="H58">
        <f>IF($A58="","",IFERROR(SUMIFS(Imported!$H$2:$H$151,Imported!$B$2:$B$151,$B58&amp;"",Imported!$C$2:$C$151,$C58&amp;""),0))</f>
        <v/>
      </c>
    </row>
    <row r="59">
      <c r="A59">
        <f>IF(Roster!A59="","",Roster!A59)</f>
        <v/>
      </c>
      <c r="B59">
        <f>IF($A59="","",Roster!B59)</f>
        <v/>
      </c>
      <c r="C59">
        <f>IF($A59="","",Roster!C59)</f>
        <v/>
      </c>
      <c r="D59">
        <f>IF($A59="","",IFERROR(SUMIFS(Imported!$D$2:$D$151,Imported!$B$2:$B$151,$B59&amp;"",Imported!$C$2:$C$151,$C59&amp;""),0))</f>
        <v/>
      </c>
      <c r="E59">
        <f>IF($A59="","",IFERROR(SUMIFS(Imported!$E$2:$E$151,Imported!$B$2:$B$151,$B59&amp;"",Imported!$C$2:$C$151,$C59&amp;""),0))</f>
        <v/>
      </c>
      <c r="F59" s="16">
        <f>IF($A59="","",IFERROR(SUMIFS(Imported!$F$2:$F$151,Imported!$B$2:$B$151,$B59&amp;"",Imported!$C$2:$C$151,$C59&amp;""),0))</f>
        <v/>
      </c>
      <c r="G59">
        <f>IF($A59="","",IFERROR(SUMIFS(Imported!$G$2:$G$151,Imported!$B$2:$B$151,$B59&amp;"",Imported!$C$2:$C$151,$C59&amp;""),0))</f>
        <v/>
      </c>
      <c r="H59">
        <f>IF($A59="","",IFERROR(SUMIFS(Imported!$H$2:$H$151,Imported!$B$2:$B$151,$B59&amp;"",Imported!$C$2:$C$151,$C59&amp;""),0))</f>
        <v/>
      </c>
    </row>
    <row r="60">
      <c r="A60">
        <f>IF(Roster!A60="","",Roster!A60)</f>
        <v/>
      </c>
      <c r="B60">
        <f>IF($A60="","",Roster!B60)</f>
        <v/>
      </c>
      <c r="C60">
        <f>IF($A60="","",Roster!C60)</f>
        <v/>
      </c>
      <c r="D60">
        <f>IF($A60="","",IFERROR(SUMIFS(Imported!$D$2:$D$151,Imported!$B$2:$B$151,$B60&amp;"",Imported!$C$2:$C$151,$C60&amp;""),0))</f>
        <v/>
      </c>
      <c r="E60">
        <f>IF($A60="","",IFERROR(SUMIFS(Imported!$E$2:$E$151,Imported!$B$2:$B$151,$B60&amp;"",Imported!$C$2:$C$151,$C60&amp;""),0))</f>
        <v/>
      </c>
      <c r="F60" s="16">
        <f>IF($A60="","",IFERROR(SUMIFS(Imported!$F$2:$F$151,Imported!$B$2:$B$151,$B60&amp;"",Imported!$C$2:$C$151,$C60&amp;""),0))</f>
        <v/>
      </c>
      <c r="G60">
        <f>IF($A60="","",IFERROR(SUMIFS(Imported!$G$2:$G$151,Imported!$B$2:$B$151,$B60&amp;"",Imported!$C$2:$C$151,$C60&amp;""),0))</f>
        <v/>
      </c>
      <c r="H60">
        <f>IF($A60="","",IFERROR(SUMIFS(Imported!$H$2:$H$151,Imported!$B$2:$B$151,$B60&amp;"",Imported!$C$2:$C$151,$C60&amp;""),0))</f>
        <v/>
      </c>
    </row>
    <row r="61">
      <c r="A61">
        <f>IF(Roster!A61="","",Roster!A61)</f>
        <v/>
      </c>
      <c r="B61">
        <f>IF($A61="","",Roster!B61)</f>
        <v/>
      </c>
      <c r="C61">
        <f>IF($A61="","",Roster!C61)</f>
        <v/>
      </c>
      <c r="D61">
        <f>IF($A61="","",IFERROR(SUMIFS(Imported!$D$2:$D$151,Imported!$B$2:$B$151,$B61&amp;"",Imported!$C$2:$C$151,$C61&amp;""),0))</f>
        <v/>
      </c>
      <c r="E61">
        <f>IF($A61="","",IFERROR(SUMIFS(Imported!$E$2:$E$151,Imported!$B$2:$B$151,$B61&amp;"",Imported!$C$2:$C$151,$C61&amp;""),0))</f>
        <v/>
      </c>
      <c r="F61" s="16">
        <f>IF($A61="","",IFERROR(SUMIFS(Imported!$F$2:$F$151,Imported!$B$2:$B$151,$B61&amp;"",Imported!$C$2:$C$151,$C61&amp;""),0))</f>
        <v/>
      </c>
      <c r="G61">
        <f>IF($A61="","",IFERROR(SUMIFS(Imported!$G$2:$G$151,Imported!$B$2:$B$151,$B61&amp;"",Imported!$C$2:$C$151,$C61&amp;""),0))</f>
        <v/>
      </c>
      <c r="H61">
        <f>IF($A61="","",IFERROR(SUMIFS(Imported!$H$2:$H$151,Imported!$B$2:$B$151,$B61&amp;"",Imported!$C$2:$C$151,$C61&amp;""),0))</f>
        <v/>
      </c>
    </row>
    <row r="62">
      <c r="A62">
        <f>IF(Roster!A62="","",Roster!A62)</f>
        <v/>
      </c>
      <c r="B62">
        <f>IF($A62="","",Roster!B62)</f>
        <v/>
      </c>
      <c r="C62">
        <f>IF($A62="","",Roster!C62)</f>
        <v/>
      </c>
      <c r="D62">
        <f>IF($A62="","",IFERROR(SUMIFS(Imported!$D$2:$D$151,Imported!$B$2:$B$151,$B62&amp;"",Imported!$C$2:$C$151,$C62&amp;""),0))</f>
        <v/>
      </c>
      <c r="E62">
        <f>IF($A62="","",IFERROR(SUMIFS(Imported!$E$2:$E$151,Imported!$B$2:$B$151,$B62&amp;"",Imported!$C$2:$C$151,$C62&amp;""),0))</f>
        <v/>
      </c>
      <c r="F62" s="16">
        <f>IF($A62="","",IFERROR(SUMIFS(Imported!$F$2:$F$151,Imported!$B$2:$B$151,$B62&amp;"",Imported!$C$2:$C$151,$C62&amp;""),0))</f>
        <v/>
      </c>
      <c r="G62">
        <f>IF($A62="","",IFERROR(SUMIFS(Imported!$G$2:$G$151,Imported!$B$2:$B$151,$B62&amp;"",Imported!$C$2:$C$151,$C62&amp;""),0))</f>
        <v/>
      </c>
      <c r="H62">
        <f>IF($A62="","",IFERROR(SUMIFS(Imported!$H$2:$H$151,Imported!$B$2:$B$151,$B62&amp;"",Imported!$C$2:$C$151,$C62&amp;""),0))</f>
        <v/>
      </c>
    </row>
    <row r="63">
      <c r="A63">
        <f>IF(Roster!A63="","",Roster!A63)</f>
        <v/>
      </c>
      <c r="B63">
        <f>IF($A63="","",Roster!B63)</f>
        <v/>
      </c>
      <c r="C63">
        <f>IF($A63="","",Roster!C63)</f>
        <v/>
      </c>
      <c r="D63">
        <f>IF($A63="","",IFERROR(SUMIFS(Imported!$D$2:$D$151,Imported!$B$2:$B$151,$B63&amp;"",Imported!$C$2:$C$151,$C63&amp;""),0))</f>
        <v/>
      </c>
      <c r="E63">
        <f>IF($A63="","",IFERROR(SUMIFS(Imported!$E$2:$E$151,Imported!$B$2:$B$151,$B63&amp;"",Imported!$C$2:$C$151,$C63&amp;""),0))</f>
        <v/>
      </c>
      <c r="F63" s="16">
        <f>IF($A63="","",IFERROR(SUMIFS(Imported!$F$2:$F$151,Imported!$B$2:$B$151,$B63&amp;"",Imported!$C$2:$C$151,$C63&amp;""),0))</f>
        <v/>
      </c>
      <c r="G63">
        <f>IF($A63="","",IFERROR(SUMIFS(Imported!$G$2:$G$151,Imported!$B$2:$B$151,$B63&amp;"",Imported!$C$2:$C$151,$C63&amp;""),0))</f>
        <v/>
      </c>
      <c r="H63">
        <f>IF($A63="","",IFERROR(SUMIFS(Imported!$H$2:$H$151,Imported!$B$2:$B$151,$B63&amp;"",Imported!$C$2:$C$151,$C63&amp;""),0))</f>
        <v/>
      </c>
    </row>
    <row r="64">
      <c r="A64">
        <f>IF(Roster!A64="","",Roster!A64)</f>
        <v/>
      </c>
      <c r="B64">
        <f>IF($A64="","",Roster!B64)</f>
        <v/>
      </c>
      <c r="C64">
        <f>IF($A64="","",Roster!C64)</f>
        <v/>
      </c>
      <c r="D64">
        <f>IF($A64="","",IFERROR(SUMIFS(Imported!$D$2:$D$151,Imported!$B$2:$B$151,$B64&amp;"",Imported!$C$2:$C$151,$C64&amp;""),0))</f>
        <v/>
      </c>
      <c r="E64">
        <f>IF($A64="","",IFERROR(SUMIFS(Imported!$E$2:$E$151,Imported!$B$2:$B$151,$B64&amp;"",Imported!$C$2:$C$151,$C64&amp;""),0))</f>
        <v/>
      </c>
      <c r="F64" s="16">
        <f>IF($A64="","",IFERROR(SUMIFS(Imported!$F$2:$F$151,Imported!$B$2:$B$151,$B64&amp;"",Imported!$C$2:$C$151,$C64&amp;""),0))</f>
        <v/>
      </c>
      <c r="G64">
        <f>IF($A64="","",IFERROR(SUMIFS(Imported!$G$2:$G$151,Imported!$B$2:$B$151,$B64&amp;"",Imported!$C$2:$C$151,$C64&amp;""),0))</f>
        <v/>
      </c>
      <c r="H64">
        <f>IF($A64="","",IFERROR(SUMIFS(Imported!$H$2:$H$151,Imported!$B$2:$B$151,$B64&amp;"",Imported!$C$2:$C$151,$C64&amp;""),0))</f>
        <v/>
      </c>
    </row>
    <row r="65">
      <c r="A65">
        <f>IF(Roster!A65="","",Roster!A65)</f>
        <v/>
      </c>
      <c r="B65">
        <f>IF($A65="","",Roster!B65)</f>
        <v/>
      </c>
      <c r="C65">
        <f>IF($A65="","",Roster!C65)</f>
        <v/>
      </c>
      <c r="D65">
        <f>IF($A65="","",IFERROR(SUMIFS(Imported!$D$2:$D$151,Imported!$B$2:$B$151,$B65&amp;"",Imported!$C$2:$C$151,$C65&amp;""),0))</f>
        <v/>
      </c>
      <c r="E65">
        <f>IF($A65="","",IFERROR(SUMIFS(Imported!$E$2:$E$151,Imported!$B$2:$B$151,$B65&amp;"",Imported!$C$2:$C$151,$C65&amp;""),0))</f>
        <v/>
      </c>
      <c r="F65" s="16">
        <f>IF($A65="","",IFERROR(SUMIFS(Imported!$F$2:$F$151,Imported!$B$2:$B$151,$B65&amp;"",Imported!$C$2:$C$151,$C65&amp;""),0))</f>
        <v/>
      </c>
      <c r="G65">
        <f>IF($A65="","",IFERROR(SUMIFS(Imported!$G$2:$G$151,Imported!$B$2:$B$151,$B65&amp;"",Imported!$C$2:$C$151,$C65&amp;""),0))</f>
        <v/>
      </c>
      <c r="H65">
        <f>IF($A65="","",IFERROR(SUMIFS(Imported!$H$2:$H$151,Imported!$B$2:$B$151,$B65&amp;"",Imported!$C$2:$C$151,$C65&amp;""),0))</f>
        <v/>
      </c>
    </row>
    <row r="66">
      <c r="A66">
        <f>IF(Roster!A66="","",Roster!A66)</f>
        <v/>
      </c>
      <c r="B66">
        <f>IF($A66="","",Roster!B66)</f>
        <v/>
      </c>
      <c r="C66">
        <f>IF($A66="","",Roster!C66)</f>
        <v/>
      </c>
      <c r="D66">
        <f>IF($A66="","",IFERROR(SUMIFS(Imported!$D$2:$D$151,Imported!$B$2:$B$151,$B66&amp;"",Imported!$C$2:$C$151,$C66&amp;""),0))</f>
        <v/>
      </c>
      <c r="E66">
        <f>IF($A66="","",IFERROR(SUMIFS(Imported!$E$2:$E$151,Imported!$B$2:$B$151,$B66&amp;"",Imported!$C$2:$C$151,$C66&amp;""),0))</f>
        <v/>
      </c>
      <c r="F66" s="16">
        <f>IF($A66="","",IFERROR(SUMIFS(Imported!$F$2:$F$151,Imported!$B$2:$B$151,$B66&amp;"",Imported!$C$2:$C$151,$C66&amp;""),0))</f>
        <v/>
      </c>
      <c r="G66">
        <f>IF($A66="","",IFERROR(SUMIFS(Imported!$G$2:$G$151,Imported!$B$2:$B$151,$B66&amp;"",Imported!$C$2:$C$151,$C66&amp;""),0))</f>
        <v/>
      </c>
      <c r="H66">
        <f>IF($A66="","",IFERROR(SUMIFS(Imported!$H$2:$H$151,Imported!$B$2:$B$151,$B66&amp;"",Imported!$C$2:$C$151,$C66&amp;""),0))</f>
        <v/>
      </c>
    </row>
    <row r="67">
      <c r="A67">
        <f>IF(Roster!A67="","",Roster!A67)</f>
        <v/>
      </c>
      <c r="B67">
        <f>IF($A67="","",Roster!B67)</f>
        <v/>
      </c>
      <c r="C67">
        <f>IF($A67="","",Roster!C67)</f>
        <v/>
      </c>
      <c r="D67">
        <f>IF($A67="","",IFERROR(SUMIFS(Imported!$D$2:$D$151,Imported!$B$2:$B$151,$B67&amp;"",Imported!$C$2:$C$151,$C67&amp;""),0))</f>
        <v/>
      </c>
      <c r="E67">
        <f>IF($A67="","",IFERROR(SUMIFS(Imported!$E$2:$E$151,Imported!$B$2:$B$151,$B67&amp;"",Imported!$C$2:$C$151,$C67&amp;""),0))</f>
        <v/>
      </c>
      <c r="F67" s="16">
        <f>IF($A67="","",IFERROR(SUMIFS(Imported!$F$2:$F$151,Imported!$B$2:$B$151,$B67&amp;"",Imported!$C$2:$C$151,$C67&amp;""),0))</f>
        <v/>
      </c>
      <c r="G67">
        <f>IF($A67="","",IFERROR(SUMIFS(Imported!$G$2:$G$151,Imported!$B$2:$B$151,$B67&amp;"",Imported!$C$2:$C$151,$C67&amp;""),0))</f>
        <v/>
      </c>
      <c r="H67">
        <f>IF($A67="","",IFERROR(SUMIFS(Imported!$H$2:$H$151,Imported!$B$2:$B$151,$B67&amp;"",Imported!$C$2:$C$151,$C67&amp;""),0))</f>
        <v/>
      </c>
    </row>
    <row r="68">
      <c r="A68">
        <f>IF(Roster!A68="","",Roster!A68)</f>
        <v/>
      </c>
      <c r="B68">
        <f>IF($A68="","",Roster!B68)</f>
        <v/>
      </c>
      <c r="C68">
        <f>IF($A68="","",Roster!C68)</f>
        <v/>
      </c>
      <c r="D68">
        <f>IF($A68="","",IFERROR(SUMIFS(Imported!$D$2:$D$151,Imported!$B$2:$B$151,$B68&amp;"",Imported!$C$2:$C$151,$C68&amp;""),0))</f>
        <v/>
      </c>
      <c r="E68">
        <f>IF($A68="","",IFERROR(SUMIFS(Imported!$E$2:$E$151,Imported!$B$2:$B$151,$B68&amp;"",Imported!$C$2:$C$151,$C68&amp;""),0))</f>
        <v/>
      </c>
      <c r="F68" s="16">
        <f>IF($A68="","",IFERROR(SUMIFS(Imported!$F$2:$F$151,Imported!$B$2:$B$151,$B68&amp;"",Imported!$C$2:$C$151,$C68&amp;""),0))</f>
        <v/>
      </c>
      <c r="G68">
        <f>IF($A68="","",IFERROR(SUMIFS(Imported!$G$2:$G$151,Imported!$B$2:$B$151,$B68&amp;"",Imported!$C$2:$C$151,$C68&amp;""),0))</f>
        <v/>
      </c>
      <c r="H68">
        <f>IF($A68="","",IFERROR(SUMIFS(Imported!$H$2:$H$151,Imported!$B$2:$B$151,$B68&amp;"",Imported!$C$2:$C$151,$C68&amp;""),0))</f>
        <v/>
      </c>
    </row>
    <row r="69">
      <c r="A69">
        <f>IF(Roster!A69="","",Roster!A69)</f>
        <v/>
      </c>
      <c r="B69">
        <f>IF($A69="","",Roster!B69)</f>
        <v/>
      </c>
      <c r="C69">
        <f>IF($A69="","",Roster!C69)</f>
        <v/>
      </c>
      <c r="D69">
        <f>IF($A69="","",IFERROR(SUMIFS(Imported!$D$2:$D$151,Imported!$B$2:$B$151,$B69&amp;"",Imported!$C$2:$C$151,$C69&amp;""),0))</f>
        <v/>
      </c>
      <c r="E69">
        <f>IF($A69="","",IFERROR(SUMIFS(Imported!$E$2:$E$151,Imported!$B$2:$B$151,$B69&amp;"",Imported!$C$2:$C$151,$C69&amp;""),0))</f>
        <v/>
      </c>
      <c r="F69" s="16">
        <f>IF($A69="","",IFERROR(SUMIFS(Imported!$F$2:$F$151,Imported!$B$2:$B$151,$B69&amp;"",Imported!$C$2:$C$151,$C69&amp;""),0))</f>
        <v/>
      </c>
      <c r="G69">
        <f>IF($A69="","",IFERROR(SUMIFS(Imported!$G$2:$G$151,Imported!$B$2:$B$151,$B69&amp;"",Imported!$C$2:$C$151,$C69&amp;""),0))</f>
        <v/>
      </c>
      <c r="H69">
        <f>IF($A69="","",IFERROR(SUMIFS(Imported!$H$2:$H$151,Imported!$B$2:$B$151,$B69&amp;"",Imported!$C$2:$C$151,$C69&amp;""),0))</f>
        <v/>
      </c>
    </row>
    <row r="70">
      <c r="A70">
        <f>IF(Roster!A70="","",Roster!A70)</f>
        <v/>
      </c>
      <c r="B70">
        <f>IF($A70="","",Roster!B70)</f>
        <v/>
      </c>
      <c r="C70">
        <f>IF($A70="","",Roster!C70)</f>
        <v/>
      </c>
      <c r="D70">
        <f>IF($A70="","",IFERROR(SUMIFS(Imported!$D$2:$D$151,Imported!$B$2:$B$151,$B70&amp;"",Imported!$C$2:$C$151,$C70&amp;""),0))</f>
        <v/>
      </c>
      <c r="E70">
        <f>IF($A70="","",IFERROR(SUMIFS(Imported!$E$2:$E$151,Imported!$B$2:$B$151,$B70&amp;"",Imported!$C$2:$C$151,$C70&amp;""),0))</f>
        <v/>
      </c>
      <c r="F70" s="16">
        <f>IF($A70="","",IFERROR(SUMIFS(Imported!$F$2:$F$151,Imported!$B$2:$B$151,$B70&amp;"",Imported!$C$2:$C$151,$C70&amp;""),0))</f>
        <v/>
      </c>
      <c r="G70">
        <f>IF($A70="","",IFERROR(SUMIFS(Imported!$G$2:$G$151,Imported!$B$2:$B$151,$B70&amp;"",Imported!$C$2:$C$151,$C70&amp;""),0))</f>
        <v/>
      </c>
      <c r="H70">
        <f>IF($A70="","",IFERROR(SUMIFS(Imported!$H$2:$H$151,Imported!$B$2:$B$151,$B70&amp;"",Imported!$C$2:$C$151,$C70&amp;""),0))</f>
        <v/>
      </c>
    </row>
    <row r="71">
      <c r="A71">
        <f>IF(Roster!A71="","",Roster!A71)</f>
        <v/>
      </c>
      <c r="B71">
        <f>IF($A71="","",Roster!B71)</f>
        <v/>
      </c>
      <c r="C71">
        <f>IF($A71="","",Roster!C71)</f>
        <v/>
      </c>
      <c r="D71">
        <f>IF($A71="","",IFERROR(SUMIFS(Imported!$D$2:$D$151,Imported!$B$2:$B$151,$B71&amp;"",Imported!$C$2:$C$151,$C71&amp;""),0))</f>
        <v/>
      </c>
      <c r="E71">
        <f>IF($A71="","",IFERROR(SUMIFS(Imported!$E$2:$E$151,Imported!$B$2:$B$151,$B71&amp;"",Imported!$C$2:$C$151,$C71&amp;""),0))</f>
        <v/>
      </c>
      <c r="F71" s="16">
        <f>IF($A71="","",IFERROR(SUMIFS(Imported!$F$2:$F$151,Imported!$B$2:$B$151,$B71&amp;"",Imported!$C$2:$C$151,$C71&amp;""),0))</f>
        <v/>
      </c>
      <c r="G71">
        <f>IF($A71="","",IFERROR(SUMIFS(Imported!$G$2:$G$151,Imported!$B$2:$B$151,$B71&amp;"",Imported!$C$2:$C$151,$C71&amp;""),0))</f>
        <v/>
      </c>
      <c r="H71">
        <f>IF($A71="","",IFERROR(SUMIFS(Imported!$H$2:$H$151,Imported!$B$2:$B$151,$B71&amp;"",Imported!$C$2:$C$151,$C71&amp;""),0))</f>
        <v/>
      </c>
    </row>
    <row r="72">
      <c r="A72">
        <f>IF(Roster!A72="","",Roster!A72)</f>
        <v/>
      </c>
      <c r="B72">
        <f>IF($A72="","",Roster!B72)</f>
        <v/>
      </c>
      <c r="C72">
        <f>IF($A72="","",Roster!C72)</f>
        <v/>
      </c>
      <c r="D72">
        <f>IF($A72="","",IFERROR(SUMIFS(Imported!$D$2:$D$151,Imported!$B$2:$B$151,$B72&amp;"",Imported!$C$2:$C$151,$C72&amp;""),0))</f>
        <v/>
      </c>
      <c r="E72">
        <f>IF($A72="","",IFERROR(SUMIFS(Imported!$E$2:$E$151,Imported!$B$2:$B$151,$B72&amp;"",Imported!$C$2:$C$151,$C72&amp;""),0))</f>
        <v/>
      </c>
      <c r="F72" s="16">
        <f>IF($A72="","",IFERROR(SUMIFS(Imported!$F$2:$F$151,Imported!$B$2:$B$151,$B72&amp;"",Imported!$C$2:$C$151,$C72&amp;""),0))</f>
        <v/>
      </c>
      <c r="G72">
        <f>IF($A72="","",IFERROR(SUMIFS(Imported!$G$2:$G$151,Imported!$B$2:$B$151,$B72&amp;"",Imported!$C$2:$C$151,$C72&amp;""),0))</f>
        <v/>
      </c>
      <c r="H72">
        <f>IF($A72="","",IFERROR(SUMIFS(Imported!$H$2:$H$151,Imported!$B$2:$B$151,$B72&amp;"",Imported!$C$2:$C$151,$C72&amp;""),0))</f>
        <v/>
      </c>
    </row>
    <row r="73">
      <c r="A73">
        <f>IF(Roster!A73="","",Roster!A73)</f>
        <v/>
      </c>
      <c r="B73">
        <f>IF($A73="","",Roster!B73)</f>
        <v/>
      </c>
      <c r="C73">
        <f>IF($A73="","",Roster!C73)</f>
        <v/>
      </c>
      <c r="D73">
        <f>IF($A73="","",IFERROR(SUMIFS(Imported!$D$2:$D$151,Imported!$B$2:$B$151,$B73&amp;"",Imported!$C$2:$C$151,$C73&amp;""),0))</f>
        <v/>
      </c>
      <c r="E73">
        <f>IF($A73="","",IFERROR(SUMIFS(Imported!$E$2:$E$151,Imported!$B$2:$B$151,$B73&amp;"",Imported!$C$2:$C$151,$C73&amp;""),0))</f>
        <v/>
      </c>
      <c r="F73" s="16">
        <f>IF($A73="","",IFERROR(SUMIFS(Imported!$F$2:$F$151,Imported!$B$2:$B$151,$B73&amp;"",Imported!$C$2:$C$151,$C73&amp;""),0))</f>
        <v/>
      </c>
      <c r="G73">
        <f>IF($A73="","",IFERROR(SUMIFS(Imported!$G$2:$G$151,Imported!$B$2:$B$151,$B73&amp;"",Imported!$C$2:$C$151,$C73&amp;""),0))</f>
        <v/>
      </c>
      <c r="H73">
        <f>IF($A73="","",IFERROR(SUMIFS(Imported!$H$2:$H$151,Imported!$B$2:$B$151,$B73&amp;"",Imported!$C$2:$C$151,$C73&amp;""),0))</f>
        <v/>
      </c>
    </row>
    <row r="74">
      <c r="A74">
        <f>IF(Roster!A74="","",Roster!A74)</f>
        <v/>
      </c>
      <c r="B74">
        <f>IF($A74="","",Roster!B74)</f>
        <v/>
      </c>
      <c r="C74">
        <f>IF($A74="","",Roster!C74)</f>
        <v/>
      </c>
      <c r="D74">
        <f>IF($A74="","",IFERROR(SUMIFS(Imported!$D$2:$D$151,Imported!$B$2:$B$151,$B74&amp;"",Imported!$C$2:$C$151,$C74&amp;""),0))</f>
        <v/>
      </c>
      <c r="E74">
        <f>IF($A74="","",IFERROR(SUMIFS(Imported!$E$2:$E$151,Imported!$B$2:$B$151,$B74&amp;"",Imported!$C$2:$C$151,$C74&amp;""),0))</f>
        <v/>
      </c>
      <c r="F74" s="16">
        <f>IF($A74="","",IFERROR(SUMIFS(Imported!$F$2:$F$151,Imported!$B$2:$B$151,$B74&amp;"",Imported!$C$2:$C$151,$C74&amp;""),0))</f>
        <v/>
      </c>
      <c r="G74">
        <f>IF($A74="","",IFERROR(SUMIFS(Imported!$G$2:$G$151,Imported!$B$2:$B$151,$B74&amp;"",Imported!$C$2:$C$151,$C74&amp;""),0))</f>
        <v/>
      </c>
      <c r="H74">
        <f>IF($A74="","",IFERROR(SUMIFS(Imported!$H$2:$H$151,Imported!$B$2:$B$151,$B74&amp;"",Imported!$C$2:$C$151,$C74&amp;""),0))</f>
        <v/>
      </c>
    </row>
    <row r="75">
      <c r="A75">
        <f>IF(Roster!A75="","",Roster!A75)</f>
        <v/>
      </c>
      <c r="B75">
        <f>IF($A75="","",Roster!B75)</f>
        <v/>
      </c>
      <c r="C75">
        <f>IF($A75="","",Roster!C75)</f>
        <v/>
      </c>
      <c r="D75">
        <f>IF($A75="","",IFERROR(SUMIFS(Imported!$D$2:$D$151,Imported!$B$2:$B$151,$B75&amp;"",Imported!$C$2:$C$151,$C75&amp;""),0))</f>
        <v/>
      </c>
      <c r="E75">
        <f>IF($A75="","",IFERROR(SUMIFS(Imported!$E$2:$E$151,Imported!$B$2:$B$151,$B75&amp;"",Imported!$C$2:$C$151,$C75&amp;""),0))</f>
        <v/>
      </c>
      <c r="F75" s="16">
        <f>IF($A75="","",IFERROR(SUMIFS(Imported!$F$2:$F$151,Imported!$B$2:$B$151,$B75&amp;"",Imported!$C$2:$C$151,$C75&amp;""),0))</f>
        <v/>
      </c>
      <c r="G75">
        <f>IF($A75="","",IFERROR(SUMIFS(Imported!$G$2:$G$151,Imported!$B$2:$B$151,$B75&amp;"",Imported!$C$2:$C$151,$C75&amp;""),0))</f>
        <v/>
      </c>
      <c r="H75">
        <f>IF($A75="","",IFERROR(SUMIFS(Imported!$H$2:$H$151,Imported!$B$2:$B$151,$B75&amp;"",Imported!$C$2:$C$151,$C75&amp;""),0))</f>
        <v/>
      </c>
    </row>
    <row r="76">
      <c r="A76">
        <f>IF(Roster!A76="","",Roster!A76)</f>
        <v/>
      </c>
      <c r="B76">
        <f>IF($A76="","",Roster!B76)</f>
        <v/>
      </c>
      <c r="C76">
        <f>IF($A76="","",Roster!C76)</f>
        <v/>
      </c>
      <c r="D76">
        <f>IF($A76="","",IFERROR(SUMIFS(Imported!$D$2:$D$151,Imported!$B$2:$B$151,$B76&amp;"",Imported!$C$2:$C$151,$C76&amp;""),0))</f>
        <v/>
      </c>
      <c r="E76">
        <f>IF($A76="","",IFERROR(SUMIFS(Imported!$E$2:$E$151,Imported!$B$2:$B$151,$B76&amp;"",Imported!$C$2:$C$151,$C76&amp;""),0))</f>
        <v/>
      </c>
      <c r="F76" s="16">
        <f>IF($A76="","",IFERROR(SUMIFS(Imported!$F$2:$F$151,Imported!$B$2:$B$151,$B76&amp;"",Imported!$C$2:$C$151,$C76&amp;""),0))</f>
        <v/>
      </c>
      <c r="G76">
        <f>IF($A76="","",IFERROR(SUMIFS(Imported!$G$2:$G$151,Imported!$B$2:$B$151,$B76&amp;"",Imported!$C$2:$C$151,$C76&amp;""),0))</f>
        <v/>
      </c>
      <c r="H76">
        <f>IF($A76="","",IFERROR(SUMIFS(Imported!$H$2:$H$151,Imported!$B$2:$B$151,$B76&amp;"",Imported!$C$2:$C$151,$C76&amp;""),0))</f>
        <v/>
      </c>
    </row>
    <row r="77">
      <c r="A77">
        <f>IF(Roster!A77="","",Roster!A77)</f>
        <v/>
      </c>
      <c r="B77">
        <f>IF($A77="","",Roster!B77)</f>
        <v/>
      </c>
      <c r="C77">
        <f>IF($A77="","",Roster!C77)</f>
        <v/>
      </c>
      <c r="D77">
        <f>IF($A77="","",IFERROR(SUMIFS(Imported!$D$2:$D$151,Imported!$B$2:$B$151,$B77&amp;"",Imported!$C$2:$C$151,$C77&amp;""),0))</f>
        <v/>
      </c>
      <c r="E77">
        <f>IF($A77="","",IFERROR(SUMIFS(Imported!$E$2:$E$151,Imported!$B$2:$B$151,$B77&amp;"",Imported!$C$2:$C$151,$C77&amp;""),0))</f>
        <v/>
      </c>
      <c r="F77" s="16">
        <f>IF($A77="","",IFERROR(SUMIFS(Imported!$F$2:$F$151,Imported!$B$2:$B$151,$B77&amp;"",Imported!$C$2:$C$151,$C77&amp;""),0))</f>
        <v/>
      </c>
      <c r="G77">
        <f>IF($A77="","",IFERROR(SUMIFS(Imported!$G$2:$G$151,Imported!$B$2:$B$151,$B77&amp;"",Imported!$C$2:$C$151,$C77&amp;""),0))</f>
        <v/>
      </c>
      <c r="H77">
        <f>IF($A77="","",IFERROR(SUMIFS(Imported!$H$2:$H$151,Imported!$B$2:$B$151,$B77&amp;"",Imported!$C$2:$C$151,$C77&amp;""),0))</f>
        <v/>
      </c>
    </row>
    <row r="78">
      <c r="A78">
        <f>IF(Roster!A78="","",Roster!A78)</f>
        <v/>
      </c>
      <c r="B78">
        <f>IF($A78="","",Roster!B78)</f>
        <v/>
      </c>
      <c r="C78">
        <f>IF($A78="","",Roster!C78)</f>
        <v/>
      </c>
      <c r="D78">
        <f>IF($A78="","",IFERROR(SUMIFS(Imported!$D$2:$D$151,Imported!$B$2:$B$151,$B78&amp;"",Imported!$C$2:$C$151,$C78&amp;""),0))</f>
        <v/>
      </c>
      <c r="E78">
        <f>IF($A78="","",IFERROR(SUMIFS(Imported!$E$2:$E$151,Imported!$B$2:$B$151,$B78&amp;"",Imported!$C$2:$C$151,$C78&amp;""),0))</f>
        <v/>
      </c>
      <c r="F78" s="16">
        <f>IF($A78="","",IFERROR(SUMIFS(Imported!$F$2:$F$151,Imported!$B$2:$B$151,$B78&amp;"",Imported!$C$2:$C$151,$C78&amp;""),0))</f>
        <v/>
      </c>
      <c r="G78">
        <f>IF($A78="","",IFERROR(SUMIFS(Imported!$G$2:$G$151,Imported!$B$2:$B$151,$B78&amp;"",Imported!$C$2:$C$151,$C78&amp;""),0))</f>
        <v/>
      </c>
      <c r="H78">
        <f>IF($A78="","",IFERROR(SUMIFS(Imported!$H$2:$H$151,Imported!$B$2:$B$151,$B78&amp;"",Imported!$C$2:$C$151,$C78&amp;""),0))</f>
        <v/>
      </c>
    </row>
    <row r="79">
      <c r="A79">
        <f>IF(Roster!A79="","",Roster!A79)</f>
        <v/>
      </c>
      <c r="B79">
        <f>IF($A79="","",Roster!B79)</f>
        <v/>
      </c>
      <c r="C79">
        <f>IF($A79="","",Roster!C79)</f>
        <v/>
      </c>
      <c r="D79">
        <f>IF($A79="","",IFERROR(SUMIFS(Imported!$D$2:$D$151,Imported!$B$2:$B$151,$B79&amp;"",Imported!$C$2:$C$151,$C79&amp;""),0))</f>
        <v/>
      </c>
      <c r="E79">
        <f>IF($A79="","",IFERROR(SUMIFS(Imported!$E$2:$E$151,Imported!$B$2:$B$151,$B79&amp;"",Imported!$C$2:$C$151,$C79&amp;""),0))</f>
        <v/>
      </c>
      <c r="F79" s="16">
        <f>IF($A79="","",IFERROR(SUMIFS(Imported!$F$2:$F$151,Imported!$B$2:$B$151,$B79&amp;"",Imported!$C$2:$C$151,$C79&amp;""),0))</f>
        <v/>
      </c>
      <c r="G79">
        <f>IF($A79="","",IFERROR(SUMIFS(Imported!$G$2:$G$151,Imported!$B$2:$B$151,$B79&amp;"",Imported!$C$2:$C$151,$C79&amp;""),0))</f>
        <v/>
      </c>
      <c r="H79">
        <f>IF($A79="","",IFERROR(SUMIFS(Imported!$H$2:$H$151,Imported!$B$2:$B$151,$B79&amp;"",Imported!$C$2:$C$151,$C79&amp;""),0))</f>
        <v/>
      </c>
    </row>
    <row r="80">
      <c r="A80">
        <f>IF(Roster!A80="","",Roster!A80)</f>
        <v/>
      </c>
      <c r="B80">
        <f>IF($A80="","",Roster!B80)</f>
        <v/>
      </c>
      <c r="C80">
        <f>IF($A80="","",Roster!C80)</f>
        <v/>
      </c>
      <c r="D80">
        <f>IF($A80="","",IFERROR(SUMIFS(Imported!$D$2:$D$151,Imported!$B$2:$B$151,$B80&amp;"",Imported!$C$2:$C$151,$C80&amp;""),0))</f>
        <v/>
      </c>
      <c r="E80">
        <f>IF($A80="","",IFERROR(SUMIFS(Imported!$E$2:$E$151,Imported!$B$2:$B$151,$B80&amp;"",Imported!$C$2:$C$151,$C80&amp;""),0))</f>
        <v/>
      </c>
      <c r="F80" s="16">
        <f>IF($A80="","",IFERROR(SUMIFS(Imported!$F$2:$F$151,Imported!$B$2:$B$151,$B80&amp;"",Imported!$C$2:$C$151,$C80&amp;""),0))</f>
        <v/>
      </c>
      <c r="G80">
        <f>IF($A80="","",IFERROR(SUMIFS(Imported!$G$2:$G$151,Imported!$B$2:$B$151,$B80&amp;"",Imported!$C$2:$C$151,$C80&amp;""),0))</f>
        <v/>
      </c>
      <c r="H80">
        <f>IF($A80="","",IFERROR(SUMIFS(Imported!$H$2:$H$151,Imported!$B$2:$B$151,$B80&amp;"",Imported!$C$2:$C$151,$C80&amp;""),0))</f>
        <v/>
      </c>
    </row>
    <row r="81">
      <c r="A81">
        <f>IF(Roster!A81="","",Roster!A81)</f>
        <v/>
      </c>
      <c r="B81">
        <f>IF($A81="","",Roster!B81)</f>
        <v/>
      </c>
      <c r="C81">
        <f>IF($A81="","",Roster!C81)</f>
        <v/>
      </c>
      <c r="D81">
        <f>IF($A81="","",IFERROR(SUMIFS(Imported!$D$2:$D$151,Imported!$B$2:$B$151,$B81&amp;"",Imported!$C$2:$C$151,$C81&amp;""),0))</f>
        <v/>
      </c>
      <c r="E81">
        <f>IF($A81="","",IFERROR(SUMIFS(Imported!$E$2:$E$151,Imported!$B$2:$B$151,$B81&amp;"",Imported!$C$2:$C$151,$C81&amp;""),0))</f>
        <v/>
      </c>
      <c r="F81" s="16">
        <f>IF($A81="","",IFERROR(SUMIFS(Imported!$F$2:$F$151,Imported!$B$2:$B$151,$B81&amp;"",Imported!$C$2:$C$151,$C81&amp;""),0))</f>
        <v/>
      </c>
      <c r="G81">
        <f>IF($A81="","",IFERROR(SUMIFS(Imported!$G$2:$G$151,Imported!$B$2:$B$151,$B81&amp;"",Imported!$C$2:$C$151,$C81&amp;""),0))</f>
        <v/>
      </c>
      <c r="H81">
        <f>IF($A81="","",IFERROR(SUMIFS(Imported!$H$2:$H$151,Imported!$B$2:$B$151,$B81&amp;"",Imported!$C$2:$C$151,$C81&amp;""),0))</f>
        <v/>
      </c>
    </row>
    <row r="82">
      <c r="A82">
        <f>IF(Roster!A82="","",Roster!A82)</f>
        <v/>
      </c>
      <c r="B82">
        <f>IF($A82="","",Roster!B82)</f>
        <v/>
      </c>
      <c r="C82">
        <f>IF($A82="","",Roster!C82)</f>
        <v/>
      </c>
      <c r="D82">
        <f>IF($A82="","",IFERROR(SUMIFS(Imported!$D$2:$D$151,Imported!$B$2:$B$151,$B82&amp;"",Imported!$C$2:$C$151,$C82&amp;""),0))</f>
        <v/>
      </c>
      <c r="E82">
        <f>IF($A82="","",IFERROR(SUMIFS(Imported!$E$2:$E$151,Imported!$B$2:$B$151,$B82&amp;"",Imported!$C$2:$C$151,$C82&amp;""),0))</f>
        <v/>
      </c>
      <c r="F82" s="16">
        <f>IF($A82="","",IFERROR(SUMIFS(Imported!$F$2:$F$151,Imported!$B$2:$B$151,$B82&amp;"",Imported!$C$2:$C$151,$C82&amp;""),0))</f>
        <v/>
      </c>
      <c r="G82">
        <f>IF($A82="","",IFERROR(SUMIFS(Imported!$G$2:$G$151,Imported!$B$2:$B$151,$B82&amp;"",Imported!$C$2:$C$151,$C82&amp;""),0))</f>
        <v/>
      </c>
      <c r="H82">
        <f>IF($A82="","",IFERROR(SUMIFS(Imported!$H$2:$H$151,Imported!$B$2:$B$151,$B82&amp;"",Imported!$C$2:$C$151,$C82&amp;""),0))</f>
        <v/>
      </c>
    </row>
    <row r="83">
      <c r="A83">
        <f>IF(Roster!A83="","",Roster!A83)</f>
        <v/>
      </c>
      <c r="B83">
        <f>IF($A83="","",Roster!B83)</f>
        <v/>
      </c>
      <c r="C83">
        <f>IF($A83="","",Roster!C83)</f>
        <v/>
      </c>
      <c r="D83">
        <f>IF($A83="","",IFERROR(SUMIFS(Imported!$D$2:$D$151,Imported!$B$2:$B$151,$B83&amp;"",Imported!$C$2:$C$151,$C83&amp;""),0))</f>
        <v/>
      </c>
      <c r="E83">
        <f>IF($A83="","",IFERROR(SUMIFS(Imported!$E$2:$E$151,Imported!$B$2:$B$151,$B83&amp;"",Imported!$C$2:$C$151,$C83&amp;""),0))</f>
        <v/>
      </c>
      <c r="F83" s="16">
        <f>IF($A83="","",IFERROR(SUMIFS(Imported!$F$2:$F$151,Imported!$B$2:$B$151,$B83&amp;"",Imported!$C$2:$C$151,$C83&amp;""),0))</f>
        <v/>
      </c>
      <c r="G83">
        <f>IF($A83="","",IFERROR(SUMIFS(Imported!$G$2:$G$151,Imported!$B$2:$B$151,$B83&amp;"",Imported!$C$2:$C$151,$C83&amp;""),0))</f>
        <v/>
      </c>
      <c r="H83">
        <f>IF($A83="","",IFERROR(SUMIFS(Imported!$H$2:$H$151,Imported!$B$2:$B$151,$B83&amp;"",Imported!$C$2:$C$151,$C83&amp;""),0))</f>
        <v/>
      </c>
    </row>
    <row r="84">
      <c r="A84">
        <f>IF(Roster!A84="","",Roster!A84)</f>
        <v/>
      </c>
      <c r="B84">
        <f>IF($A84="","",Roster!B84)</f>
        <v/>
      </c>
      <c r="C84">
        <f>IF($A84="","",Roster!C84)</f>
        <v/>
      </c>
      <c r="D84">
        <f>IF($A84="","",IFERROR(SUMIFS(Imported!$D$2:$D$151,Imported!$B$2:$B$151,$B84&amp;"",Imported!$C$2:$C$151,$C84&amp;""),0))</f>
        <v/>
      </c>
      <c r="E84">
        <f>IF($A84="","",IFERROR(SUMIFS(Imported!$E$2:$E$151,Imported!$B$2:$B$151,$B84&amp;"",Imported!$C$2:$C$151,$C84&amp;""),0))</f>
        <v/>
      </c>
      <c r="F84" s="16">
        <f>IF($A84="","",IFERROR(SUMIFS(Imported!$F$2:$F$151,Imported!$B$2:$B$151,$B84&amp;"",Imported!$C$2:$C$151,$C84&amp;""),0))</f>
        <v/>
      </c>
      <c r="G84">
        <f>IF($A84="","",IFERROR(SUMIFS(Imported!$G$2:$G$151,Imported!$B$2:$B$151,$B84&amp;"",Imported!$C$2:$C$151,$C84&amp;""),0))</f>
        <v/>
      </c>
      <c r="H84">
        <f>IF($A84="","",IFERROR(SUMIFS(Imported!$H$2:$H$151,Imported!$B$2:$B$151,$B84&amp;"",Imported!$C$2:$C$151,$C84&amp;""),0))</f>
        <v/>
      </c>
    </row>
    <row r="85">
      <c r="A85">
        <f>IF(Roster!A85="","",Roster!A85)</f>
        <v/>
      </c>
      <c r="B85">
        <f>IF($A85="","",Roster!B85)</f>
        <v/>
      </c>
      <c r="C85">
        <f>IF($A85="","",Roster!C85)</f>
        <v/>
      </c>
      <c r="D85">
        <f>IF($A85="","",IFERROR(SUMIFS(Imported!$D$2:$D$151,Imported!$B$2:$B$151,$B85&amp;"",Imported!$C$2:$C$151,$C85&amp;""),0))</f>
        <v/>
      </c>
      <c r="E85">
        <f>IF($A85="","",IFERROR(SUMIFS(Imported!$E$2:$E$151,Imported!$B$2:$B$151,$B85&amp;"",Imported!$C$2:$C$151,$C85&amp;""),0))</f>
        <v/>
      </c>
      <c r="F85" s="16">
        <f>IF($A85="","",IFERROR(SUMIFS(Imported!$F$2:$F$151,Imported!$B$2:$B$151,$B85&amp;"",Imported!$C$2:$C$151,$C85&amp;""),0))</f>
        <v/>
      </c>
      <c r="G85">
        <f>IF($A85="","",IFERROR(SUMIFS(Imported!$G$2:$G$151,Imported!$B$2:$B$151,$B85&amp;"",Imported!$C$2:$C$151,$C85&amp;""),0))</f>
        <v/>
      </c>
      <c r="H85">
        <f>IF($A85="","",IFERROR(SUMIFS(Imported!$H$2:$H$151,Imported!$B$2:$B$151,$B85&amp;"",Imported!$C$2:$C$151,$C85&amp;""),0))</f>
        <v/>
      </c>
    </row>
    <row r="86">
      <c r="A86">
        <f>IF(Roster!A86="","",Roster!A86)</f>
        <v/>
      </c>
      <c r="B86">
        <f>IF($A86="","",Roster!B86)</f>
        <v/>
      </c>
      <c r="C86">
        <f>IF($A86="","",Roster!C86)</f>
        <v/>
      </c>
      <c r="D86">
        <f>IF($A86="","",IFERROR(SUMIFS(Imported!$D$2:$D$151,Imported!$B$2:$B$151,$B86&amp;"",Imported!$C$2:$C$151,$C86&amp;""),0))</f>
        <v/>
      </c>
      <c r="E86">
        <f>IF($A86="","",IFERROR(SUMIFS(Imported!$E$2:$E$151,Imported!$B$2:$B$151,$B86&amp;"",Imported!$C$2:$C$151,$C86&amp;""),0))</f>
        <v/>
      </c>
      <c r="F86" s="16">
        <f>IF($A86="","",IFERROR(SUMIFS(Imported!$F$2:$F$151,Imported!$B$2:$B$151,$B86&amp;"",Imported!$C$2:$C$151,$C86&amp;""),0))</f>
        <v/>
      </c>
      <c r="G86">
        <f>IF($A86="","",IFERROR(SUMIFS(Imported!$G$2:$G$151,Imported!$B$2:$B$151,$B86&amp;"",Imported!$C$2:$C$151,$C86&amp;""),0))</f>
        <v/>
      </c>
      <c r="H86">
        <f>IF($A86="","",IFERROR(SUMIFS(Imported!$H$2:$H$151,Imported!$B$2:$B$151,$B86&amp;"",Imported!$C$2:$C$151,$C86&amp;""),0))</f>
        <v/>
      </c>
    </row>
    <row r="87">
      <c r="A87">
        <f>IF(Roster!A87="","",Roster!A87)</f>
        <v/>
      </c>
      <c r="B87">
        <f>IF($A87="","",Roster!B87)</f>
        <v/>
      </c>
      <c r="C87">
        <f>IF($A87="","",Roster!C87)</f>
        <v/>
      </c>
      <c r="D87">
        <f>IF($A87="","",IFERROR(SUMIFS(Imported!$D$2:$D$151,Imported!$B$2:$B$151,$B87&amp;"",Imported!$C$2:$C$151,$C87&amp;""),0))</f>
        <v/>
      </c>
      <c r="E87">
        <f>IF($A87="","",IFERROR(SUMIFS(Imported!$E$2:$E$151,Imported!$B$2:$B$151,$B87&amp;"",Imported!$C$2:$C$151,$C87&amp;""),0))</f>
        <v/>
      </c>
      <c r="F87" s="16">
        <f>IF($A87="","",IFERROR(SUMIFS(Imported!$F$2:$F$151,Imported!$B$2:$B$151,$B87&amp;"",Imported!$C$2:$C$151,$C87&amp;""),0))</f>
        <v/>
      </c>
      <c r="G87">
        <f>IF($A87="","",IFERROR(SUMIFS(Imported!$G$2:$G$151,Imported!$B$2:$B$151,$B87&amp;"",Imported!$C$2:$C$151,$C87&amp;""),0))</f>
        <v/>
      </c>
      <c r="H87">
        <f>IF($A87="","",IFERROR(SUMIFS(Imported!$H$2:$H$151,Imported!$B$2:$B$151,$B87&amp;"",Imported!$C$2:$C$151,$C87&amp;""),0))</f>
        <v/>
      </c>
    </row>
    <row r="88">
      <c r="A88">
        <f>IF(Roster!A88="","",Roster!A88)</f>
        <v/>
      </c>
      <c r="B88">
        <f>IF($A88="","",Roster!B88)</f>
        <v/>
      </c>
      <c r="C88">
        <f>IF($A88="","",Roster!C88)</f>
        <v/>
      </c>
      <c r="D88">
        <f>IF($A88="","",IFERROR(SUMIFS(Imported!$D$2:$D$151,Imported!$B$2:$B$151,$B88&amp;"",Imported!$C$2:$C$151,$C88&amp;""),0))</f>
        <v/>
      </c>
      <c r="E88">
        <f>IF($A88="","",IFERROR(SUMIFS(Imported!$E$2:$E$151,Imported!$B$2:$B$151,$B88&amp;"",Imported!$C$2:$C$151,$C88&amp;""),0))</f>
        <v/>
      </c>
      <c r="F88" s="16">
        <f>IF($A88="","",IFERROR(SUMIFS(Imported!$F$2:$F$151,Imported!$B$2:$B$151,$B88&amp;"",Imported!$C$2:$C$151,$C88&amp;""),0))</f>
        <v/>
      </c>
      <c r="G88">
        <f>IF($A88="","",IFERROR(SUMIFS(Imported!$G$2:$G$151,Imported!$B$2:$B$151,$B88&amp;"",Imported!$C$2:$C$151,$C88&amp;""),0))</f>
        <v/>
      </c>
      <c r="H88">
        <f>IF($A88="","",IFERROR(SUMIFS(Imported!$H$2:$H$151,Imported!$B$2:$B$151,$B88&amp;"",Imported!$C$2:$C$151,$C88&amp;""),0))</f>
        <v/>
      </c>
    </row>
    <row r="89">
      <c r="A89">
        <f>IF(Roster!A89="","",Roster!A89)</f>
        <v/>
      </c>
      <c r="B89">
        <f>IF($A89="","",Roster!B89)</f>
        <v/>
      </c>
      <c r="C89">
        <f>IF($A89="","",Roster!C89)</f>
        <v/>
      </c>
      <c r="D89">
        <f>IF($A89="","",IFERROR(SUMIFS(Imported!$D$2:$D$151,Imported!$B$2:$B$151,$B89&amp;"",Imported!$C$2:$C$151,$C89&amp;""),0))</f>
        <v/>
      </c>
      <c r="E89">
        <f>IF($A89="","",IFERROR(SUMIFS(Imported!$E$2:$E$151,Imported!$B$2:$B$151,$B89&amp;"",Imported!$C$2:$C$151,$C89&amp;""),0))</f>
        <v/>
      </c>
      <c r="F89" s="16">
        <f>IF($A89="","",IFERROR(SUMIFS(Imported!$F$2:$F$151,Imported!$B$2:$B$151,$B89&amp;"",Imported!$C$2:$C$151,$C89&amp;""),0))</f>
        <v/>
      </c>
      <c r="G89">
        <f>IF($A89="","",IFERROR(SUMIFS(Imported!$G$2:$G$151,Imported!$B$2:$B$151,$B89&amp;"",Imported!$C$2:$C$151,$C89&amp;""),0))</f>
        <v/>
      </c>
      <c r="H89">
        <f>IF($A89="","",IFERROR(SUMIFS(Imported!$H$2:$H$151,Imported!$B$2:$B$151,$B89&amp;"",Imported!$C$2:$C$151,$C89&amp;""),0))</f>
        <v/>
      </c>
    </row>
    <row r="90">
      <c r="A90">
        <f>IF(Roster!A90="","",Roster!A90)</f>
        <v/>
      </c>
      <c r="B90">
        <f>IF($A90="","",Roster!B90)</f>
        <v/>
      </c>
      <c r="C90">
        <f>IF($A90="","",Roster!C90)</f>
        <v/>
      </c>
      <c r="D90">
        <f>IF($A90="","",IFERROR(SUMIFS(Imported!$D$2:$D$151,Imported!$B$2:$B$151,$B90&amp;"",Imported!$C$2:$C$151,$C90&amp;""),0))</f>
        <v/>
      </c>
      <c r="E90">
        <f>IF($A90="","",IFERROR(SUMIFS(Imported!$E$2:$E$151,Imported!$B$2:$B$151,$B90&amp;"",Imported!$C$2:$C$151,$C90&amp;""),0))</f>
        <v/>
      </c>
      <c r="F90" s="16">
        <f>IF($A90="","",IFERROR(SUMIFS(Imported!$F$2:$F$151,Imported!$B$2:$B$151,$B90&amp;"",Imported!$C$2:$C$151,$C90&amp;""),0))</f>
        <v/>
      </c>
      <c r="G90">
        <f>IF($A90="","",IFERROR(SUMIFS(Imported!$G$2:$G$151,Imported!$B$2:$B$151,$B90&amp;"",Imported!$C$2:$C$151,$C90&amp;""),0))</f>
        <v/>
      </c>
      <c r="H90">
        <f>IF($A90="","",IFERROR(SUMIFS(Imported!$H$2:$H$151,Imported!$B$2:$B$151,$B90&amp;"",Imported!$C$2:$C$151,$C90&amp;""),0))</f>
        <v/>
      </c>
    </row>
    <row r="91">
      <c r="A91">
        <f>IF(Roster!A91="","",Roster!A91)</f>
        <v/>
      </c>
      <c r="B91">
        <f>IF($A91="","",Roster!B91)</f>
        <v/>
      </c>
      <c r="C91">
        <f>IF($A91="","",Roster!C91)</f>
        <v/>
      </c>
      <c r="D91">
        <f>IF($A91="","",IFERROR(SUMIFS(Imported!$D$2:$D$151,Imported!$B$2:$B$151,$B91&amp;"",Imported!$C$2:$C$151,$C91&amp;""),0))</f>
        <v/>
      </c>
      <c r="E91">
        <f>IF($A91="","",IFERROR(SUMIFS(Imported!$E$2:$E$151,Imported!$B$2:$B$151,$B91&amp;"",Imported!$C$2:$C$151,$C91&amp;""),0))</f>
        <v/>
      </c>
      <c r="F91" s="16">
        <f>IF($A91="","",IFERROR(SUMIFS(Imported!$F$2:$F$151,Imported!$B$2:$B$151,$B91&amp;"",Imported!$C$2:$C$151,$C91&amp;""),0))</f>
        <v/>
      </c>
      <c r="G91">
        <f>IF($A91="","",IFERROR(SUMIFS(Imported!$G$2:$G$151,Imported!$B$2:$B$151,$B91&amp;"",Imported!$C$2:$C$151,$C91&amp;""),0))</f>
        <v/>
      </c>
      <c r="H91">
        <f>IF($A91="","",IFERROR(SUMIFS(Imported!$H$2:$H$151,Imported!$B$2:$B$151,$B91&amp;"",Imported!$C$2:$C$151,$C91&amp;""),0))</f>
        <v/>
      </c>
    </row>
    <row r="92">
      <c r="A92">
        <f>IF(Roster!A92="","",Roster!A92)</f>
        <v/>
      </c>
      <c r="B92">
        <f>IF($A92="","",Roster!B92)</f>
        <v/>
      </c>
      <c r="C92">
        <f>IF($A92="","",Roster!C92)</f>
        <v/>
      </c>
      <c r="D92">
        <f>IF($A92="","",IFERROR(SUMIFS(Imported!$D$2:$D$151,Imported!$B$2:$B$151,$B92&amp;"",Imported!$C$2:$C$151,$C92&amp;""),0))</f>
        <v/>
      </c>
      <c r="E92">
        <f>IF($A92="","",IFERROR(SUMIFS(Imported!$E$2:$E$151,Imported!$B$2:$B$151,$B92&amp;"",Imported!$C$2:$C$151,$C92&amp;""),0))</f>
        <v/>
      </c>
      <c r="F92" s="16">
        <f>IF($A92="","",IFERROR(SUMIFS(Imported!$F$2:$F$151,Imported!$B$2:$B$151,$B92&amp;"",Imported!$C$2:$C$151,$C92&amp;""),0))</f>
        <v/>
      </c>
      <c r="G92">
        <f>IF($A92="","",IFERROR(SUMIFS(Imported!$G$2:$G$151,Imported!$B$2:$B$151,$B92&amp;"",Imported!$C$2:$C$151,$C92&amp;""),0))</f>
        <v/>
      </c>
      <c r="H92">
        <f>IF($A92="","",IFERROR(SUMIFS(Imported!$H$2:$H$151,Imported!$B$2:$B$151,$B92&amp;"",Imported!$C$2:$C$151,$C92&amp;""),0))</f>
        <v/>
      </c>
    </row>
    <row r="93">
      <c r="A93">
        <f>IF(Roster!A93="","",Roster!A93)</f>
        <v/>
      </c>
      <c r="B93">
        <f>IF($A93="","",Roster!B93)</f>
        <v/>
      </c>
      <c r="C93">
        <f>IF($A93="","",Roster!C93)</f>
        <v/>
      </c>
      <c r="D93">
        <f>IF($A93="","",IFERROR(SUMIFS(Imported!$D$2:$D$151,Imported!$B$2:$B$151,$B93&amp;"",Imported!$C$2:$C$151,$C93&amp;""),0))</f>
        <v/>
      </c>
      <c r="E93">
        <f>IF($A93="","",IFERROR(SUMIFS(Imported!$E$2:$E$151,Imported!$B$2:$B$151,$B93&amp;"",Imported!$C$2:$C$151,$C93&amp;""),0))</f>
        <v/>
      </c>
      <c r="F93" s="16">
        <f>IF($A93="","",IFERROR(SUMIFS(Imported!$F$2:$F$151,Imported!$B$2:$B$151,$B93&amp;"",Imported!$C$2:$C$151,$C93&amp;""),0))</f>
        <v/>
      </c>
      <c r="G93">
        <f>IF($A93="","",IFERROR(SUMIFS(Imported!$G$2:$G$151,Imported!$B$2:$B$151,$B93&amp;"",Imported!$C$2:$C$151,$C93&amp;""),0))</f>
        <v/>
      </c>
      <c r="H93">
        <f>IF($A93="","",IFERROR(SUMIFS(Imported!$H$2:$H$151,Imported!$B$2:$B$151,$B93&amp;"",Imported!$C$2:$C$151,$C93&amp;""),0))</f>
        <v/>
      </c>
    </row>
    <row r="94">
      <c r="A94">
        <f>IF(Roster!A94="","",Roster!A94)</f>
        <v/>
      </c>
      <c r="B94">
        <f>IF($A94="","",Roster!B94)</f>
        <v/>
      </c>
      <c r="C94">
        <f>IF($A94="","",Roster!C94)</f>
        <v/>
      </c>
      <c r="D94">
        <f>IF($A94="","",IFERROR(SUMIFS(Imported!$D$2:$D$151,Imported!$B$2:$B$151,$B94&amp;"",Imported!$C$2:$C$151,$C94&amp;""),0))</f>
        <v/>
      </c>
      <c r="E94">
        <f>IF($A94="","",IFERROR(SUMIFS(Imported!$E$2:$E$151,Imported!$B$2:$B$151,$B94&amp;"",Imported!$C$2:$C$151,$C94&amp;""),0))</f>
        <v/>
      </c>
      <c r="F94" s="16">
        <f>IF($A94="","",IFERROR(SUMIFS(Imported!$F$2:$F$151,Imported!$B$2:$B$151,$B94&amp;"",Imported!$C$2:$C$151,$C94&amp;""),0))</f>
        <v/>
      </c>
      <c r="G94">
        <f>IF($A94="","",IFERROR(SUMIFS(Imported!$G$2:$G$151,Imported!$B$2:$B$151,$B94&amp;"",Imported!$C$2:$C$151,$C94&amp;""),0))</f>
        <v/>
      </c>
      <c r="H94">
        <f>IF($A94="","",IFERROR(SUMIFS(Imported!$H$2:$H$151,Imported!$B$2:$B$151,$B94&amp;"",Imported!$C$2:$C$151,$C94&amp;""),0))</f>
        <v/>
      </c>
    </row>
    <row r="95">
      <c r="A95">
        <f>IF(Roster!A95="","",Roster!A95)</f>
        <v/>
      </c>
      <c r="B95">
        <f>IF($A95="","",Roster!B95)</f>
        <v/>
      </c>
      <c r="C95">
        <f>IF($A95="","",Roster!C95)</f>
        <v/>
      </c>
      <c r="D95">
        <f>IF($A95="","",IFERROR(SUMIFS(Imported!$D$2:$D$151,Imported!$B$2:$B$151,$B95&amp;"",Imported!$C$2:$C$151,$C95&amp;""),0))</f>
        <v/>
      </c>
      <c r="E95">
        <f>IF($A95="","",IFERROR(SUMIFS(Imported!$E$2:$E$151,Imported!$B$2:$B$151,$B95&amp;"",Imported!$C$2:$C$151,$C95&amp;""),0))</f>
        <v/>
      </c>
      <c r="F95" s="16">
        <f>IF($A95="","",IFERROR(SUMIFS(Imported!$F$2:$F$151,Imported!$B$2:$B$151,$B95&amp;"",Imported!$C$2:$C$151,$C95&amp;""),0))</f>
        <v/>
      </c>
      <c r="G95">
        <f>IF($A95="","",IFERROR(SUMIFS(Imported!$G$2:$G$151,Imported!$B$2:$B$151,$B95&amp;"",Imported!$C$2:$C$151,$C95&amp;""),0))</f>
        <v/>
      </c>
      <c r="H95">
        <f>IF($A95="","",IFERROR(SUMIFS(Imported!$H$2:$H$151,Imported!$B$2:$B$151,$B95&amp;"",Imported!$C$2:$C$151,$C95&amp;""),0))</f>
        <v/>
      </c>
    </row>
    <row r="96">
      <c r="A96">
        <f>IF(Roster!A96="","",Roster!A96)</f>
        <v/>
      </c>
      <c r="B96">
        <f>IF($A96="","",Roster!B96)</f>
        <v/>
      </c>
      <c r="C96">
        <f>IF($A96="","",Roster!C96)</f>
        <v/>
      </c>
      <c r="D96">
        <f>IF($A96="","",IFERROR(SUMIFS(Imported!$D$2:$D$151,Imported!$B$2:$B$151,$B96&amp;"",Imported!$C$2:$C$151,$C96&amp;""),0))</f>
        <v/>
      </c>
      <c r="E96">
        <f>IF($A96="","",IFERROR(SUMIFS(Imported!$E$2:$E$151,Imported!$B$2:$B$151,$B96&amp;"",Imported!$C$2:$C$151,$C96&amp;""),0))</f>
        <v/>
      </c>
      <c r="F96" s="16">
        <f>IF($A96="","",IFERROR(SUMIFS(Imported!$F$2:$F$151,Imported!$B$2:$B$151,$B96&amp;"",Imported!$C$2:$C$151,$C96&amp;""),0))</f>
        <v/>
      </c>
      <c r="G96">
        <f>IF($A96="","",IFERROR(SUMIFS(Imported!$G$2:$G$151,Imported!$B$2:$B$151,$B96&amp;"",Imported!$C$2:$C$151,$C96&amp;""),0))</f>
        <v/>
      </c>
      <c r="H96">
        <f>IF($A96="","",IFERROR(SUMIFS(Imported!$H$2:$H$151,Imported!$B$2:$B$151,$B96&amp;"",Imported!$C$2:$C$151,$C96&amp;""),0))</f>
        <v/>
      </c>
    </row>
    <row r="97">
      <c r="A97">
        <f>IF(Roster!A97="","",Roster!A97)</f>
        <v/>
      </c>
      <c r="B97">
        <f>IF($A97="","",Roster!B97)</f>
        <v/>
      </c>
      <c r="C97">
        <f>IF($A97="","",Roster!C97)</f>
        <v/>
      </c>
      <c r="D97">
        <f>IF($A97="","",IFERROR(SUMIFS(Imported!$D$2:$D$151,Imported!$B$2:$B$151,$B97&amp;"",Imported!$C$2:$C$151,$C97&amp;""),0))</f>
        <v/>
      </c>
      <c r="E97">
        <f>IF($A97="","",IFERROR(SUMIFS(Imported!$E$2:$E$151,Imported!$B$2:$B$151,$B97&amp;"",Imported!$C$2:$C$151,$C97&amp;""),0))</f>
        <v/>
      </c>
      <c r="F97" s="16">
        <f>IF($A97="","",IFERROR(SUMIFS(Imported!$F$2:$F$151,Imported!$B$2:$B$151,$B97&amp;"",Imported!$C$2:$C$151,$C97&amp;""),0))</f>
        <v/>
      </c>
      <c r="G97">
        <f>IF($A97="","",IFERROR(SUMIFS(Imported!$G$2:$G$151,Imported!$B$2:$B$151,$B97&amp;"",Imported!$C$2:$C$151,$C97&amp;""),0))</f>
        <v/>
      </c>
      <c r="H97">
        <f>IF($A97="","",IFERROR(SUMIFS(Imported!$H$2:$H$151,Imported!$B$2:$B$151,$B97&amp;"",Imported!$C$2:$C$151,$C97&amp;""),0))</f>
        <v/>
      </c>
    </row>
    <row r="98">
      <c r="A98">
        <f>IF(Roster!A98="","",Roster!A98)</f>
        <v/>
      </c>
      <c r="B98">
        <f>IF($A98="","",Roster!B98)</f>
        <v/>
      </c>
      <c r="C98">
        <f>IF($A98="","",Roster!C98)</f>
        <v/>
      </c>
      <c r="D98">
        <f>IF($A98="","",IFERROR(SUMIFS(Imported!$D$2:$D$151,Imported!$B$2:$B$151,$B98&amp;"",Imported!$C$2:$C$151,$C98&amp;""),0))</f>
        <v/>
      </c>
      <c r="E98">
        <f>IF($A98="","",IFERROR(SUMIFS(Imported!$E$2:$E$151,Imported!$B$2:$B$151,$B98&amp;"",Imported!$C$2:$C$151,$C98&amp;""),0))</f>
        <v/>
      </c>
      <c r="F98" s="16">
        <f>IF($A98="","",IFERROR(SUMIFS(Imported!$F$2:$F$151,Imported!$B$2:$B$151,$B98&amp;"",Imported!$C$2:$C$151,$C98&amp;""),0))</f>
        <v/>
      </c>
      <c r="G98">
        <f>IF($A98="","",IFERROR(SUMIFS(Imported!$G$2:$G$151,Imported!$B$2:$B$151,$B98&amp;"",Imported!$C$2:$C$151,$C98&amp;""),0))</f>
        <v/>
      </c>
      <c r="H98">
        <f>IF($A98="","",IFERROR(SUMIFS(Imported!$H$2:$H$151,Imported!$B$2:$B$151,$B98&amp;"",Imported!$C$2:$C$151,$C98&amp;""),0))</f>
        <v/>
      </c>
    </row>
    <row r="99">
      <c r="A99">
        <f>IF(Roster!A99="","",Roster!A99)</f>
        <v/>
      </c>
      <c r="B99">
        <f>IF($A99="","",Roster!B99)</f>
        <v/>
      </c>
      <c r="C99">
        <f>IF($A99="","",Roster!C99)</f>
        <v/>
      </c>
      <c r="D99">
        <f>IF($A99="","",IFERROR(SUMIFS(Imported!$D$2:$D$151,Imported!$B$2:$B$151,$B99&amp;"",Imported!$C$2:$C$151,$C99&amp;""),0))</f>
        <v/>
      </c>
      <c r="E99">
        <f>IF($A99="","",IFERROR(SUMIFS(Imported!$E$2:$E$151,Imported!$B$2:$B$151,$B99&amp;"",Imported!$C$2:$C$151,$C99&amp;""),0))</f>
        <v/>
      </c>
      <c r="F99" s="16">
        <f>IF($A99="","",IFERROR(SUMIFS(Imported!$F$2:$F$151,Imported!$B$2:$B$151,$B99&amp;"",Imported!$C$2:$C$151,$C99&amp;""),0))</f>
        <v/>
      </c>
      <c r="G99">
        <f>IF($A99="","",IFERROR(SUMIFS(Imported!$G$2:$G$151,Imported!$B$2:$B$151,$B99&amp;"",Imported!$C$2:$C$151,$C99&amp;""),0))</f>
        <v/>
      </c>
      <c r="H99">
        <f>IF($A99="","",IFERROR(SUMIFS(Imported!$H$2:$H$151,Imported!$B$2:$B$151,$B99&amp;"",Imported!$C$2:$C$151,$C99&amp;""),0))</f>
        <v/>
      </c>
    </row>
    <row r="100">
      <c r="A100">
        <f>IF(Roster!A100="","",Roster!A100)</f>
        <v/>
      </c>
      <c r="B100">
        <f>IF($A100="","",Roster!B100)</f>
        <v/>
      </c>
      <c r="C100">
        <f>IF($A100="","",Roster!C100)</f>
        <v/>
      </c>
      <c r="D100">
        <f>IF($A100="","",IFERROR(SUMIFS(Imported!$D$2:$D$151,Imported!$B$2:$B$151,$B100&amp;"",Imported!$C$2:$C$151,$C100&amp;""),0))</f>
        <v/>
      </c>
      <c r="E100">
        <f>IF($A100="","",IFERROR(SUMIFS(Imported!$E$2:$E$151,Imported!$B$2:$B$151,$B100&amp;"",Imported!$C$2:$C$151,$C100&amp;""),0))</f>
        <v/>
      </c>
      <c r="F100" s="16">
        <f>IF($A100="","",IFERROR(SUMIFS(Imported!$F$2:$F$151,Imported!$B$2:$B$151,$B100&amp;"",Imported!$C$2:$C$151,$C100&amp;""),0))</f>
        <v/>
      </c>
      <c r="G100">
        <f>IF($A100="","",IFERROR(SUMIFS(Imported!$G$2:$G$151,Imported!$B$2:$B$151,$B100&amp;"",Imported!$C$2:$C$151,$C100&amp;""),0))</f>
        <v/>
      </c>
      <c r="H100">
        <f>IF($A100="","",IFERROR(SUMIFS(Imported!$H$2:$H$151,Imported!$B$2:$B$151,$B100&amp;"",Imported!$C$2:$C$151,$C100&amp;""),0))</f>
        <v/>
      </c>
    </row>
    <row r="101">
      <c r="A101">
        <f>IF(Roster!A101="","",Roster!A101)</f>
        <v/>
      </c>
      <c r="B101">
        <f>IF($A101="","",Roster!B101)</f>
        <v/>
      </c>
      <c r="C101">
        <f>IF($A101="","",Roster!C101)</f>
        <v/>
      </c>
      <c r="D101">
        <f>IF($A101="","",IFERROR(SUMIFS(Imported!$D$2:$D$151,Imported!$B$2:$B$151,$B101&amp;"",Imported!$C$2:$C$151,$C101&amp;""),0))</f>
        <v/>
      </c>
      <c r="E101">
        <f>IF($A101="","",IFERROR(SUMIFS(Imported!$E$2:$E$151,Imported!$B$2:$B$151,$B101&amp;"",Imported!$C$2:$C$151,$C101&amp;""),0))</f>
        <v/>
      </c>
      <c r="F101" s="16">
        <f>IF($A101="","",IFERROR(SUMIFS(Imported!$F$2:$F$151,Imported!$B$2:$B$151,$B101&amp;"",Imported!$C$2:$C$151,$C101&amp;""),0))</f>
        <v/>
      </c>
      <c r="G101">
        <f>IF($A101="","",IFERROR(SUMIFS(Imported!$G$2:$G$151,Imported!$B$2:$B$151,$B101&amp;"",Imported!$C$2:$C$151,$C101&amp;""),0))</f>
        <v/>
      </c>
      <c r="H101">
        <f>IF($A101="","",IFERROR(SUMIFS(Imported!$H$2:$H$151,Imported!$B$2:$B$151,$B101&amp;"",Imported!$C$2:$C$151,$C101&amp;""),0))</f>
        <v/>
      </c>
    </row>
    <row r="102">
      <c r="A102">
        <f>IF(Roster!A102="","",Roster!A102)</f>
        <v/>
      </c>
      <c r="B102">
        <f>IF($A102="","",Roster!B102)</f>
        <v/>
      </c>
      <c r="C102">
        <f>IF($A102="","",Roster!C102)</f>
        <v/>
      </c>
      <c r="D102">
        <f>IF($A102="","",IFERROR(SUMIFS(Imported!$D$2:$D$151,Imported!$B$2:$B$151,$B102&amp;"",Imported!$C$2:$C$151,$C102&amp;""),0))</f>
        <v/>
      </c>
      <c r="E102">
        <f>IF($A102="","",IFERROR(SUMIFS(Imported!$E$2:$E$151,Imported!$B$2:$B$151,$B102&amp;"",Imported!$C$2:$C$151,$C102&amp;""),0))</f>
        <v/>
      </c>
      <c r="F102" s="16">
        <f>IF($A102="","",IFERROR(SUMIFS(Imported!$F$2:$F$151,Imported!$B$2:$B$151,$B102&amp;"",Imported!$C$2:$C$151,$C102&amp;""),0))</f>
        <v/>
      </c>
      <c r="G102">
        <f>IF($A102="","",IFERROR(SUMIFS(Imported!$G$2:$G$151,Imported!$B$2:$B$151,$B102&amp;"",Imported!$C$2:$C$151,$C102&amp;""),0))</f>
        <v/>
      </c>
      <c r="H102">
        <f>IF($A102="","",IFERROR(SUMIFS(Imported!$H$2:$H$151,Imported!$B$2:$B$151,$B102&amp;"",Imported!$C$2:$C$151,$C102&amp;""),0))</f>
        <v/>
      </c>
    </row>
    <row r="103">
      <c r="A103">
        <f>IF(Roster!A103="","",Roster!A103)</f>
        <v/>
      </c>
      <c r="B103">
        <f>IF($A103="","",Roster!B103)</f>
        <v/>
      </c>
      <c r="C103">
        <f>IF($A103="","",Roster!C103)</f>
        <v/>
      </c>
      <c r="D103">
        <f>IF($A103="","",IFERROR(SUMIFS(Imported!$D$2:$D$151,Imported!$B$2:$B$151,$B103&amp;"",Imported!$C$2:$C$151,$C103&amp;""),0))</f>
        <v/>
      </c>
      <c r="E103">
        <f>IF($A103="","",IFERROR(SUMIFS(Imported!$E$2:$E$151,Imported!$B$2:$B$151,$B103&amp;"",Imported!$C$2:$C$151,$C103&amp;""),0))</f>
        <v/>
      </c>
      <c r="F103" s="16">
        <f>IF($A103="","",IFERROR(SUMIFS(Imported!$F$2:$F$151,Imported!$B$2:$B$151,$B103&amp;"",Imported!$C$2:$C$151,$C103&amp;""),0))</f>
        <v/>
      </c>
      <c r="G103">
        <f>IF($A103="","",IFERROR(SUMIFS(Imported!$G$2:$G$151,Imported!$B$2:$B$151,$B103&amp;"",Imported!$C$2:$C$151,$C103&amp;""),0))</f>
        <v/>
      </c>
      <c r="H103">
        <f>IF($A103="","",IFERROR(SUMIFS(Imported!$H$2:$H$151,Imported!$B$2:$B$151,$B103&amp;"",Imported!$C$2:$C$151,$C103&amp;""),0))</f>
        <v/>
      </c>
    </row>
    <row r="104">
      <c r="A104">
        <f>IF(Roster!A104="","",Roster!A104)</f>
        <v/>
      </c>
      <c r="B104">
        <f>IF($A104="","",Roster!B104)</f>
        <v/>
      </c>
      <c r="C104">
        <f>IF($A104="","",Roster!C104)</f>
        <v/>
      </c>
      <c r="D104">
        <f>IF($A104="","",IFERROR(SUMIFS(Imported!$D$2:$D$151,Imported!$B$2:$B$151,$B104&amp;"",Imported!$C$2:$C$151,$C104&amp;""),0))</f>
        <v/>
      </c>
      <c r="E104">
        <f>IF($A104="","",IFERROR(SUMIFS(Imported!$E$2:$E$151,Imported!$B$2:$B$151,$B104&amp;"",Imported!$C$2:$C$151,$C104&amp;""),0))</f>
        <v/>
      </c>
      <c r="F104" s="16">
        <f>IF($A104="","",IFERROR(SUMIFS(Imported!$F$2:$F$151,Imported!$B$2:$B$151,$B104&amp;"",Imported!$C$2:$C$151,$C104&amp;""),0))</f>
        <v/>
      </c>
      <c r="G104">
        <f>IF($A104="","",IFERROR(SUMIFS(Imported!$G$2:$G$151,Imported!$B$2:$B$151,$B104&amp;"",Imported!$C$2:$C$151,$C104&amp;""),0))</f>
        <v/>
      </c>
      <c r="H104">
        <f>IF($A104="","",IFERROR(SUMIFS(Imported!$H$2:$H$151,Imported!$B$2:$B$151,$B104&amp;"",Imported!$C$2:$C$151,$C104&amp;""),0))</f>
        <v/>
      </c>
    </row>
    <row r="105">
      <c r="A105">
        <f>IF(Roster!A105="","",Roster!A105)</f>
        <v/>
      </c>
      <c r="B105">
        <f>IF($A105="","",Roster!B105)</f>
        <v/>
      </c>
      <c r="C105">
        <f>IF($A105="","",Roster!C105)</f>
        <v/>
      </c>
      <c r="D105">
        <f>IF($A105="","",IFERROR(SUMIFS(Imported!$D$2:$D$151,Imported!$B$2:$B$151,$B105&amp;"",Imported!$C$2:$C$151,$C105&amp;""),0))</f>
        <v/>
      </c>
      <c r="E105">
        <f>IF($A105="","",IFERROR(SUMIFS(Imported!$E$2:$E$151,Imported!$B$2:$B$151,$B105&amp;"",Imported!$C$2:$C$151,$C105&amp;""),0))</f>
        <v/>
      </c>
      <c r="F105" s="16">
        <f>IF($A105="","",IFERROR(SUMIFS(Imported!$F$2:$F$151,Imported!$B$2:$B$151,$B105&amp;"",Imported!$C$2:$C$151,$C105&amp;""),0))</f>
        <v/>
      </c>
      <c r="G105">
        <f>IF($A105="","",IFERROR(SUMIFS(Imported!$G$2:$G$151,Imported!$B$2:$B$151,$B105&amp;"",Imported!$C$2:$C$151,$C105&amp;""),0))</f>
        <v/>
      </c>
      <c r="H105">
        <f>IF($A105="","",IFERROR(SUMIFS(Imported!$H$2:$H$151,Imported!$B$2:$B$151,$B105&amp;"",Imported!$C$2:$C$151,$C105&amp;""),0))</f>
        <v/>
      </c>
    </row>
    <row r="106">
      <c r="A106">
        <f>IF(Roster!A106="","",Roster!A106)</f>
        <v/>
      </c>
      <c r="B106">
        <f>IF($A106="","",Roster!B106)</f>
        <v/>
      </c>
      <c r="C106">
        <f>IF($A106="","",Roster!C106)</f>
        <v/>
      </c>
      <c r="D106">
        <f>IF($A106="","",IFERROR(SUMIFS(Imported!$D$2:$D$151,Imported!$B$2:$B$151,$B106&amp;"",Imported!$C$2:$C$151,$C106&amp;""),0))</f>
        <v/>
      </c>
      <c r="E106">
        <f>IF($A106="","",IFERROR(SUMIFS(Imported!$E$2:$E$151,Imported!$B$2:$B$151,$B106&amp;"",Imported!$C$2:$C$151,$C106&amp;""),0))</f>
        <v/>
      </c>
      <c r="F106" s="16">
        <f>IF($A106="","",IFERROR(SUMIFS(Imported!$F$2:$F$151,Imported!$B$2:$B$151,$B106&amp;"",Imported!$C$2:$C$151,$C106&amp;""),0))</f>
        <v/>
      </c>
      <c r="G106">
        <f>IF($A106="","",IFERROR(SUMIFS(Imported!$G$2:$G$151,Imported!$B$2:$B$151,$B106&amp;"",Imported!$C$2:$C$151,$C106&amp;""),0))</f>
        <v/>
      </c>
      <c r="H106">
        <f>IF($A106="","",IFERROR(SUMIFS(Imported!$H$2:$H$151,Imported!$B$2:$B$151,$B106&amp;"",Imported!$C$2:$C$151,$C106&amp;""),0))</f>
        <v/>
      </c>
    </row>
    <row r="107">
      <c r="A107">
        <f>IF(Roster!A107="","",Roster!A107)</f>
        <v/>
      </c>
      <c r="B107">
        <f>IF($A107="","",Roster!B107)</f>
        <v/>
      </c>
      <c r="C107">
        <f>IF($A107="","",Roster!C107)</f>
        <v/>
      </c>
      <c r="D107">
        <f>IF($A107="","",IFERROR(SUMIFS(Imported!$D$2:$D$151,Imported!$B$2:$B$151,$B107&amp;"",Imported!$C$2:$C$151,$C107&amp;""),0))</f>
        <v/>
      </c>
      <c r="E107">
        <f>IF($A107="","",IFERROR(SUMIFS(Imported!$E$2:$E$151,Imported!$B$2:$B$151,$B107&amp;"",Imported!$C$2:$C$151,$C107&amp;""),0))</f>
        <v/>
      </c>
      <c r="F107" s="16">
        <f>IF($A107="","",IFERROR(SUMIFS(Imported!$F$2:$F$151,Imported!$B$2:$B$151,$B107&amp;"",Imported!$C$2:$C$151,$C107&amp;""),0))</f>
        <v/>
      </c>
      <c r="G107">
        <f>IF($A107="","",IFERROR(SUMIFS(Imported!$G$2:$G$151,Imported!$B$2:$B$151,$B107&amp;"",Imported!$C$2:$C$151,$C107&amp;""),0))</f>
        <v/>
      </c>
      <c r="H107">
        <f>IF($A107="","",IFERROR(SUMIFS(Imported!$H$2:$H$151,Imported!$B$2:$B$151,$B107&amp;"",Imported!$C$2:$C$151,$C107&amp;""),0))</f>
        <v/>
      </c>
    </row>
    <row r="108">
      <c r="A108">
        <f>IF(Roster!A108="","",Roster!A108)</f>
        <v/>
      </c>
      <c r="B108">
        <f>IF($A108="","",Roster!B108)</f>
        <v/>
      </c>
      <c r="C108">
        <f>IF($A108="","",Roster!C108)</f>
        <v/>
      </c>
      <c r="D108">
        <f>IF($A108="","",IFERROR(SUMIFS(Imported!$D$2:$D$151,Imported!$B$2:$B$151,$B108&amp;"",Imported!$C$2:$C$151,$C108&amp;""),0))</f>
        <v/>
      </c>
      <c r="E108">
        <f>IF($A108="","",IFERROR(SUMIFS(Imported!$E$2:$E$151,Imported!$B$2:$B$151,$B108&amp;"",Imported!$C$2:$C$151,$C108&amp;""),0))</f>
        <v/>
      </c>
      <c r="F108" s="16">
        <f>IF($A108="","",IFERROR(SUMIFS(Imported!$F$2:$F$151,Imported!$B$2:$B$151,$B108&amp;"",Imported!$C$2:$C$151,$C108&amp;""),0))</f>
        <v/>
      </c>
      <c r="G108">
        <f>IF($A108="","",IFERROR(SUMIFS(Imported!$G$2:$G$151,Imported!$B$2:$B$151,$B108&amp;"",Imported!$C$2:$C$151,$C108&amp;""),0))</f>
        <v/>
      </c>
      <c r="H108">
        <f>IF($A108="","",IFERROR(SUMIFS(Imported!$H$2:$H$151,Imported!$B$2:$B$151,$B108&amp;"",Imported!$C$2:$C$151,$C108&amp;""),0))</f>
        <v/>
      </c>
    </row>
    <row r="109">
      <c r="A109">
        <f>IF(Roster!A109="","",Roster!A109)</f>
        <v/>
      </c>
      <c r="B109">
        <f>IF($A109="","",Roster!B109)</f>
        <v/>
      </c>
      <c r="C109">
        <f>IF($A109="","",Roster!C109)</f>
        <v/>
      </c>
      <c r="D109">
        <f>IF($A109="","",IFERROR(SUMIFS(Imported!$D$2:$D$151,Imported!$B$2:$B$151,$B109&amp;"",Imported!$C$2:$C$151,$C109&amp;""),0))</f>
        <v/>
      </c>
      <c r="E109">
        <f>IF($A109="","",IFERROR(SUMIFS(Imported!$E$2:$E$151,Imported!$B$2:$B$151,$B109&amp;"",Imported!$C$2:$C$151,$C109&amp;""),0))</f>
        <v/>
      </c>
      <c r="F109" s="16">
        <f>IF($A109="","",IFERROR(SUMIFS(Imported!$F$2:$F$151,Imported!$B$2:$B$151,$B109&amp;"",Imported!$C$2:$C$151,$C109&amp;""),0))</f>
        <v/>
      </c>
      <c r="G109">
        <f>IF($A109="","",IFERROR(SUMIFS(Imported!$G$2:$G$151,Imported!$B$2:$B$151,$B109&amp;"",Imported!$C$2:$C$151,$C109&amp;""),0))</f>
        <v/>
      </c>
      <c r="H109">
        <f>IF($A109="","",IFERROR(SUMIFS(Imported!$H$2:$H$151,Imported!$B$2:$B$151,$B109&amp;"",Imported!$C$2:$C$151,$C109&amp;""),0))</f>
        <v/>
      </c>
    </row>
    <row r="110">
      <c r="A110">
        <f>IF(Roster!A110="","",Roster!A110)</f>
        <v/>
      </c>
      <c r="B110">
        <f>IF($A110="","",Roster!B110)</f>
        <v/>
      </c>
      <c r="C110">
        <f>IF($A110="","",Roster!C110)</f>
        <v/>
      </c>
      <c r="D110">
        <f>IF($A110="","",IFERROR(SUMIFS(Imported!$D$2:$D$151,Imported!$B$2:$B$151,$B110&amp;"",Imported!$C$2:$C$151,$C110&amp;""),0))</f>
        <v/>
      </c>
      <c r="E110">
        <f>IF($A110="","",IFERROR(SUMIFS(Imported!$E$2:$E$151,Imported!$B$2:$B$151,$B110&amp;"",Imported!$C$2:$C$151,$C110&amp;""),0))</f>
        <v/>
      </c>
      <c r="F110" s="16">
        <f>IF($A110="","",IFERROR(SUMIFS(Imported!$F$2:$F$151,Imported!$B$2:$B$151,$B110&amp;"",Imported!$C$2:$C$151,$C110&amp;""),0))</f>
        <v/>
      </c>
      <c r="G110">
        <f>IF($A110="","",IFERROR(SUMIFS(Imported!$G$2:$G$151,Imported!$B$2:$B$151,$B110&amp;"",Imported!$C$2:$C$151,$C110&amp;""),0))</f>
        <v/>
      </c>
      <c r="H110">
        <f>IF($A110="","",IFERROR(SUMIFS(Imported!$H$2:$H$151,Imported!$B$2:$B$151,$B110&amp;"",Imported!$C$2:$C$151,$C110&amp;""),0))</f>
        <v/>
      </c>
    </row>
    <row r="111">
      <c r="A111">
        <f>IF(Roster!A111="","",Roster!A111)</f>
        <v/>
      </c>
      <c r="B111">
        <f>IF($A111="","",Roster!B111)</f>
        <v/>
      </c>
      <c r="C111">
        <f>IF($A111="","",Roster!C111)</f>
        <v/>
      </c>
      <c r="D111">
        <f>IF($A111="","",IFERROR(SUMIFS(Imported!$D$2:$D$151,Imported!$B$2:$B$151,$B111&amp;"",Imported!$C$2:$C$151,$C111&amp;""),0))</f>
        <v/>
      </c>
      <c r="E111">
        <f>IF($A111="","",IFERROR(SUMIFS(Imported!$E$2:$E$151,Imported!$B$2:$B$151,$B111&amp;"",Imported!$C$2:$C$151,$C111&amp;""),0))</f>
        <v/>
      </c>
      <c r="F111" s="16">
        <f>IF($A111="","",IFERROR(SUMIFS(Imported!$F$2:$F$151,Imported!$B$2:$B$151,$B111&amp;"",Imported!$C$2:$C$151,$C111&amp;""),0))</f>
        <v/>
      </c>
      <c r="G111">
        <f>IF($A111="","",IFERROR(SUMIFS(Imported!$G$2:$G$151,Imported!$B$2:$B$151,$B111&amp;"",Imported!$C$2:$C$151,$C111&amp;""),0))</f>
        <v/>
      </c>
      <c r="H111">
        <f>IF($A111="","",IFERROR(SUMIFS(Imported!$H$2:$H$151,Imported!$B$2:$B$151,$B111&amp;"",Imported!$C$2:$C$151,$C111&amp;""),0))</f>
        <v/>
      </c>
    </row>
    <row r="112">
      <c r="A112">
        <f>IF(Roster!A112="","",Roster!A112)</f>
        <v/>
      </c>
      <c r="B112">
        <f>IF($A112="","",Roster!B112)</f>
        <v/>
      </c>
      <c r="C112">
        <f>IF($A112="","",Roster!C112)</f>
        <v/>
      </c>
      <c r="D112">
        <f>IF($A112="","",IFERROR(SUMIFS(Imported!$D$2:$D$151,Imported!$B$2:$B$151,$B112&amp;"",Imported!$C$2:$C$151,$C112&amp;""),0))</f>
        <v/>
      </c>
      <c r="E112">
        <f>IF($A112="","",IFERROR(SUMIFS(Imported!$E$2:$E$151,Imported!$B$2:$B$151,$B112&amp;"",Imported!$C$2:$C$151,$C112&amp;""),0))</f>
        <v/>
      </c>
      <c r="F112" s="16">
        <f>IF($A112="","",IFERROR(SUMIFS(Imported!$F$2:$F$151,Imported!$B$2:$B$151,$B112&amp;"",Imported!$C$2:$C$151,$C112&amp;""),0))</f>
        <v/>
      </c>
      <c r="G112">
        <f>IF($A112="","",IFERROR(SUMIFS(Imported!$G$2:$G$151,Imported!$B$2:$B$151,$B112&amp;"",Imported!$C$2:$C$151,$C112&amp;""),0))</f>
        <v/>
      </c>
      <c r="H112">
        <f>IF($A112="","",IFERROR(SUMIFS(Imported!$H$2:$H$151,Imported!$B$2:$B$151,$B112&amp;"",Imported!$C$2:$C$151,$C112&amp;""),0))</f>
        <v/>
      </c>
    </row>
    <row r="113">
      <c r="A113">
        <f>IF(Roster!A113="","",Roster!A113)</f>
        <v/>
      </c>
      <c r="B113">
        <f>IF($A113="","",Roster!B113)</f>
        <v/>
      </c>
      <c r="C113">
        <f>IF($A113="","",Roster!C113)</f>
        <v/>
      </c>
      <c r="D113">
        <f>IF($A113="","",IFERROR(SUMIFS(Imported!$D$2:$D$151,Imported!$B$2:$B$151,$B113&amp;"",Imported!$C$2:$C$151,$C113&amp;""),0))</f>
        <v/>
      </c>
      <c r="E113">
        <f>IF($A113="","",IFERROR(SUMIFS(Imported!$E$2:$E$151,Imported!$B$2:$B$151,$B113&amp;"",Imported!$C$2:$C$151,$C113&amp;""),0))</f>
        <v/>
      </c>
      <c r="F113" s="16">
        <f>IF($A113="","",IFERROR(SUMIFS(Imported!$F$2:$F$151,Imported!$B$2:$B$151,$B113&amp;"",Imported!$C$2:$C$151,$C113&amp;""),0))</f>
        <v/>
      </c>
      <c r="G113">
        <f>IF($A113="","",IFERROR(SUMIFS(Imported!$G$2:$G$151,Imported!$B$2:$B$151,$B113&amp;"",Imported!$C$2:$C$151,$C113&amp;""),0))</f>
        <v/>
      </c>
      <c r="H113">
        <f>IF($A113="","",IFERROR(SUMIFS(Imported!$H$2:$H$151,Imported!$B$2:$B$151,$B113&amp;"",Imported!$C$2:$C$151,$C113&amp;""),0))</f>
        <v/>
      </c>
    </row>
    <row r="114">
      <c r="A114">
        <f>IF(Roster!A114="","",Roster!A114)</f>
        <v/>
      </c>
      <c r="B114">
        <f>IF($A114="","",Roster!B114)</f>
        <v/>
      </c>
      <c r="C114">
        <f>IF($A114="","",Roster!C114)</f>
        <v/>
      </c>
      <c r="D114">
        <f>IF($A114="","",IFERROR(SUMIFS(Imported!$D$2:$D$151,Imported!$B$2:$B$151,$B114&amp;"",Imported!$C$2:$C$151,$C114&amp;""),0))</f>
        <v/>
      </c>
      <c r="E114">
        <f>IF($A114="","",IFERROR(SUMIFS(Imported!$E$2:$E$151,Imported!$B$2:$B$151,$B114&amp;"",Imported!$C$2:$C$151,$C114&amp;""),0))</f>
        <v/>
      </c>
      <c r="F114" s="16">
        <f>IF($A114="","",IFERROR(SUMIFS(Imported!$F$2:$F$151,Imported!$B$2:$B$151,$B114&amp;"",Imported!$C$2:$C$151,$C114&amp;""),0))</f>
        <v/>
      </c>
      <c r="G114">
        <f>IF($A114="","",IFERROR(SUMIFS(Imported!$G$2:$G$151,Imported!$B$2:$B$151,$B114&amp;"",Imported!$C$2:$C$151,$C114&amp;""),0))</f>
        <v/>
      </c>
      <c r="H114">
        <f>IF($A114="","",IFERROR(SUMIFS(Imported!$H$2:$H$151,Imported!$B$2:$B$151,$B114&amp;"",Imported!$C$2:$C$151,$C114&amp;""),0))</f>
        <v/>
      </c>
    </row>
    <row r="115">
      <c r="A115">
        <f>IF(Roster!A115="","",Roster!A115)</f>
        <v/>
      </c>
      <c r="B115">
        <f>IF($A115="","",Roster!B115)</f>
        <v/>
      </c>
      <c r="C115">
        <f>IF($A115="","",Roster!C115)</f>
        <v/>
      </c>
      <c r="D115">
        <f>IF($A115="","",IFERROR(SUMIFS(Imported!$D$2:$D$151,Imported!$B$2:$B$151,$B115&amp;"",Imported!$C$2:$C$151,$C115&amp;""),0))</f>
        <v/>
      </c>
      <c r="E115">
        <f>IF($A115="","",IFERROR(SUMIFS(Imported!$E$2:$E$151,Imported!$B$2:$B$151,$B115&amp;"",Imported!$C$2:$C$151,$C115&amp;""),0))</f>
        <v/>
      </c>
      <c r="F115" s="16">
        <f>IF($A115="","",IFERROR(SUMIFS(Imported!$F$2:$F$151,Imported!$B$2:$B$151,$B115&amp;"",Imported!$C$2:$C$151,$C115&amp;""),0))</f>
        <v/>
      </c>
      <c r="G115">
        <f>IF($A115="","",IFERROR(SUMIFS(Imported!$G$2:$G$151,Imported!$B$2:$B$151,$B115&amp;"",Imported!$C$2:$C$151,$C115&amp;""),0))</f>
        <v/>
      </c>
      <c r="H115">
        <f>IF($A115="","",IFERROR(SUMIFS(Imported!$H$2:$H$151,Imported!$B$2:$B$151,$B115&amp;"",Imported!$C$2:$C$151,$C115&amp;""),0))</f>
        <v/>
      </c>
    </row>
    <row r="116">
      <c r="A116">
        <f>IF(Roster!A116="","",Roster!A116)</f>
        <v/>
      </c>
      <c r="B116">
        <f>IF($A116="","",Roster!B116)</f>
        <v/>
      </c>
      <c r="C116">
        <f>IF($A116="","",Roster!C116)</f>
        <v/>
      </c>
      <c r="D116">
        <f>IF($A116="","",IFERROR(SUMIFS(Imported!$D$2:$D$151,Imported!$B$2:$B$151,$B116&amp;"",Imported!$C$2:$C$151,$C116&amp;""),0))</f>
        <v/>
      </c>
      <c r="E116">
        <f>IF($A116="","",IFERROR(SUMIFS(Imported!$E$2:$E$151,Imported!$B$2:$B$151,$B116&amp;"",Imported!$C$2:$C$151,$C116&amp;""),0))</f>
        <v/>
      </c>
      <c r="F116" s="16">
        <f>IF($A116="","",IFERROR(SUMIFS(Imported!$F$2:$F$151,Imported!$B$2:$B$151,$B116&amp;"",Imported!$C$2:$C$151,$C116&amp;""),0))</f>
        <v/>
      </c>
      <c r="G116">
        <f>IF($A116="","",IFERROR(SUMIFS(Imported!$G$2:$G$151,Imported!$B$2:$B$151,$B116&amp;"",Imported!$C$2:$C$151,$C116&amp;""),0))</f>
        <v/>
      </c>
      <c r="H116">
        <f>IF($A116="","",IFERROR(SUMIFS(Imported!$H$2:$H$151,Imported!$B$2:$B$151,$B116&amp;"",Imported!$C$2:$C$151,$C116&amp;""),0))</f>
        <v/>
      </c>
    </row>
    <row r="117">
      <c r="A117">
        <f>IF(Roster!A117="","",Roster!A117)</f>
        <v/>
      </c>
      <c r="B117">
        <f>IF($A117="","",Roster!B117)</f>
        <v/>
      </c>
      <c r="C117">
        <f>IF($A117="","",Roster!C117)</f>
        <v/>
      </c>
      <c r="D117">
        <f>IF($A117="","",IFERROR(SUMIFS(Imported!$D$2:$D$151,Imported!$B$2:$B$151,$B117&amp;"",Imported!$C$2:$C$151,$C117&amp;""),0))</f>
        <v/>
      </c>
      <c r="E117">
        <f>IF($A117="","",IFERROR(SUMIFS(Imported!$E$2:$E$151,Imported!$B$2:$B$151,$B117&amp;"",Imported!$C$2:$C$151,$C117&amp;""),0))</f>
        <v/>
      </c>
      <c r="F117" s="16">
        <f>IF($A117="","",IFERROR(SUMIFS(Imported!$F$2:$F$151,Imported!$B$2:$B$151,$B117&amp;"",Imported!$C$2:$C$151,$C117&amp;""),0))</f>
        <v/>
      </c>
      <c r="G117">
        <f>IF($A117="","",IFERROR(SUMIFS(Imported!$G$2:$G$151,Imported!$B$2:$B$151,$B117&amp;"",Imported!$C$2:$C$151,$C117&amp;""),0))</f>
        <v/>
      </c>
      <c r="H117">
        <f>IF($A117="","",IFERROR(SUMIFS(Imported!$H$2:$H$151,Imported!$B$2:$B$151,$B117&amp;"",Imported!$C$2:$C$151,$C117&amp;""),0))</f>
        <v/>
      </c>
    </row>
    <row r="118">
      <c r="A118">
        <f>IF(Roster!A118="","",Roster!A118)</f>
        <v/>
      </c>
      <c r="B118">
        <f>IF($A118="","",Roster!B118)</f>
        <v/>
      </c>
      <c r="C118">
        <f>IF($A118="","",Roster!C118)</f>
        <v/>
      </c>
      <c r="D118">
        <f>IF($A118="","",IFERROR(SUMIFS(Imported!$D$2:$D$151,Imported!$B$2:$B$151,$B118&amp;"",Imported!$C$2:$C$151,$C118&amp;""),0))</f>
        <v/>
      </c>
      <c r="E118">
        <f>IF($A118="","",IFERROR(SUMIFS(Imported!$E$2:$E$151,Imported!$B$2:$B$151,$B118&amp;"",Imported!$C$2:$C$151,$C118&amp;""),0))</f>
        <v/>
      </c>
      <c r="F118" s="16">
        <f>IF($A118="","",IFERROR(SUMIFS(Imported!$F$2:$F$151,Imported!$B$2:$B$151,$B118&amp;"",Imported!$C$2:$C$151,$C118&amp;""),0))</f>
        <v/>
      </c>
      <c r="G118">
        <f>IF($A118="","",IFERROR(SUMIFS(Imported!$G$2:$G$151,Imported!$B$2:$B$151,$B118&amp;"",Imported!$C$2:$C$151,$C118&amp;""),0))</f>
        <v/>
      </c>
      <c r="H118">
        <f>IF($A118="","",IFERROR(SUMIFS(Imported!$H$2:$H$151,Imported!$B$2:$B$151,$B118&amp;"",Imported!$C$2:$C$151,$C118&amp;""),0))</f>
        <v/>
      </c>
    </row>
    <row r="119">
      <c r="A119">
        <f>IF(Roster!A119="","",Roster!A119)</f>
        <v/>
      </c>
      <c r="B119">
        <f>IF($A119="","",Roster!B119)</f>
        <v/>
      </c>
      <c r="C119">
        <f>IF($A119="","",Roster!C119)</f>
        <v/>
      </c>
      <c r="D119">
        <f>IF($A119="","",IFERROR(SUMIFS(Imported!$D$2:$D$151,Imported!$B$2:$B$151,$B119&amp;"",Imported!$C$2:$C$151,$C119&amp;""),0))</f>
        <v/>
      </c>
      <c r="E119">
        <f>IF($A119="","",IFERROR(SUMIFS(Imported!$E$2:$E$151,Imported!$B$2:$B$151,$B119&amp;"",Imported!$C$2:$C$151,$C119&amp;""),0))</f>
        <v/>
      </c>
      <c r="F119" s="16">
        <f>IF($A119="","",IFERROR(SUMIFS(Imported!$F$2:$F$151,Imported!$B$2:$B$151,$B119&amp;"",Imported!$C$2:$C$151,$C119&amp;""),0))</f>
        <v/>
      </c>
      <c r="G119">
        <f>IF($A119="","",IFERROR(SUMIFS(Imported!$G$2:$G$151,Imported!$B$2:$B$151,$B119&amp;"",Imported!$C$2:$C$151,$C119&amp;""),0))</f>
        <v/>
      </c>
      <c r="H119">
        <f>IF($A119="","",IFERROR(SUMIFS(Imported!$H$2:$H$151,Imported!$B$2:$B$151,$B119&amp;"",Imported!$C$2:$C$151,$C119&amp;""),0))</f>
        <v/>
      </c>
    </row>
    <row r="120">
      <c r="A120">
        <f>IF(Roster!A120="","",Roster!A120)</f>
        <v/>
      </c>
      <c r="B120">
        <f>IF($A120="","",Roster!B120)</f>
        <v/>
      </c>
      <c r="C120">
        <f>IF($A120="","",Roster!C120)</f>
        <v/>
      </c>
      <c r="D120">
        <f>IF($A120="","",IFERROR(SUMIFS(Imported!$D$2:$D$151,Imported!$B$2:$B$151,$B120&amp;"",Imported!$C$2:$C$151,$C120&amp;""),0))</f>
        <v/>
      </c>
      <c r="E120">
        <f>IF($A120="","",IFERROR(SUMIFS(Imported!$E$2:$E$151,Imported!$B$2:$B$151,$B120&amp;"",Imported!$C$2:$C$151,$C120&amp;""),0))</f>
        <v/>
      </c>
      <c r="F120" s="16">
        <f>IF($A120="","",IFERROR(SUMIFS(Imported!$F$2:$F$151,Imported!$B$2:$B$151,$B120&amp;"",Imported!$C$2:$C$151,$C120&amp;""),0))</f>
        <v/>
      </c>
      <c r="G120">
        <f>IF($A120="","",IFERROR(SUMIFS(Imported!$G$2:$G$151,Imported!$B$2:$B$151,$B120&amp;"",Imported!$C$2:$C$151,$C120&amp;""),0))</f>
        <v/>
      </c>
      <c r="H120">
        <f>IF($A120="","",IFERROR(SUMIFS(Imported!$H$2:$H$151,Imported!$B$2:$B$151,$B120&amp;"",Imported!$C$2:$C$151,$C120&amp;""),0))</f>
        <v/>
      </c>
    </row>
    <row r="121">
      <c r="A121">
        <f>IF(Roster!A121="","",Roster!A121)</f>
        <v/>
      </c>
      <c r="B121">
        <f>IF($A121="","",Roster!B121)</f>
        <v/>
      </c>
      <c r="C121">
        <f>IF($A121="","",Roster!C121)</f>
        <v/>
      </c>
      <c r="D121">
        <f>IF($A121="","",IFERROR(SUMIFS(Imported!$D$2:$D$151,Imported!$B$2:$B$151,$B121&amp;"",Imported!$C$2:$C$151,$C121&amp;""),0))</f>
        <v/>
      </c>
      <c r="E121">
        <f>IF($A121="","",IFERROR(SUMIFS(Imported!$E$2:$E$151,Imported!$B$2:$B$151,$B121&amp;"",Imported!$C$2:$C$151,$C121&amp;""),0))</f>
        <v/>
      </c>
      <c r="F121" s="16">
        <f>IF($A121="","",IFERROR(SUMIFS(Imported!$F$2:$F$151,Imported!$B$2:$B$151,$B121&amp;"",Imported!$C$2:$C$151,$C121&amp;""),0))</f>
        <v/>
      </c>
      <c r="G121">
        <f>IF($A121="","",IFERROR(SUMIFS(Imported!$G$2:$G$151,Imported!$B$2:$B$151,$B121&amp;"",Imported!$C$2:$C$151,$C121&amp;""),0))</f>
        <v/>
      </c>
      <c r="H121">
        <f>IF($A121="","",IFERROR(SUMIFS(Imported!$H$2:$H$151,Imported!$B$2:$B$151,$B121&amp;"",Imported!$C$2:$C$151,$C121&amp;""),0))</f>
        <v/>
      </c>
    </row>
    <row r="122">
      <c r="A122">
        <f>IF(Roster!A122="","",Roster!A122)</f>
        <v/>
      </c>
      <c r="B122">
        <f>IF($A122="","",Roster!B122)</f>
        <v/>
      </c>
      <c r="C122">
        <f>IF($A122="","",Roster!C122)</f>
        <v/>
      </c>
      <c r="D122">
        <f>IF($A122="","",IFERROR(SUMIFS(Imported!$D$2:$D$151,Imported!$B$2:$B$151,$B122&amp;"",Imported!$C$2:$C$151,$C122&amp;""),0))</f>
        <v/>
      </c>
      <c r="E122">
        <f>IF($A122="","",IFERROR(SUMIFS(Imported!$E$2:$E$151,Imported!$B$2:$B$151,$B122&amp;"",Imported!$C$2:$C$151,$C122&amp;""),0))</f>
        <v/>
      </c>
      <c r="F122" s="16">
        <f>IF($A122="","",IFERROR(SUMIFS(Imported!$F$2:$F$151,Imported!$B$2:$B$151,$B122&amp;"",Imported!$C$2:$C$151,$C122&amp;""),0))</f>
        <v/>
      </c>
      <c r="G122">
        <f>IF($A122="","",IFERROR(SUMIFS(Imported!$G$2:$G$151,Imported!$B$2:$B$151,$B122&amp;"",Imported!$C$2:$C$151,$C122&amp;""),0))</f>
        <v/>
      </c>
      <c r="H122">
        <f>IF($A122="","",IFERROR(SUMIFS(Imported!$H$2:$H$151,Imported!$B$2:$B$151,$B122&amp;"",Imported!$C$2:$C$151,$C122&amp;""),0))</f>
        <v/>
      </c>
    </row>
    <row r="123">
      <c r="A123">
        <f>IF(Roster!A123="","",Roster!A123)</f>
        <v/>
      </c>
      <c r="B123">
        <f>IF($A123="","",Roster!B123)</f>
        <v/>
      </c>
      <c r="C123">
        <f>IF($A123="","",Roster!C123)</f>
        <v/>
      </c>
      <c r="D123">
        <f>IF($A123="","",IFERROR(SUMIFS(Imported!$D$2:$D$151,Imported!$B$2:$B$151,$B123&amp;"",Imported!$C$2:$C$151,$C123&amp;""),0))</f>
        <v/>
      </c>
      <c r="E123">
        <f>IF($A123="","",IFERROR(SUMIFS(Imported!$E$2:$E$151,Imported!$B$2:$B$151,$B123&amp;"",Imported!$C$2:$C$151,$C123&amp;""),0))</f>
        <v/>
      </c>
      <c r="F123" s="16">
        <f>IF($A123="","",IFERROR(SUMIFS(Imported!$F$2:$F$151,Imported!$B$2:$B$151,$B123&amp;"",Imported!$C$2:$C$151,$C123&amp;""),0))</f>
        <v/>
      </c>
      <c r="G123">
        <f>IF($A123="","",IFERROR(SUMIFS(Imported!$G$2:$G$151,Imported!$B$2:$B$151,$B123&amp;"",Imported!$C$2:$C$151,$C123&amp;""),0))</f>
        <v/>
      </c>
      <c r="H123">
        <f>IF($A123="","",IFERROR(SUMIFS(Imported!$H$2:$H$151,Imported!$B$2:$B$151,$B123&amp;"",Imported!$C$2:$C$151,$C123&amp;""),0))</f>
        <v/>
      </c>
    </row>
    <row r="124">
      <c r="A124">
        <f>IF(Roster!A124="","",Roster!A124)</f>
        <v/>
      </c>
      <c r="B124">
        <f>IF($A124="","",Roster!B124)</f>
        <v/>
      </c>
      <c r="C124">
        <f>IF($A124="","",Roster!C124)</f>
        <v/>
      </c>
      <c r="D124">
        <f>IF($A124="","",IFERROR(SUMIFS(Imported!$D$2:$D$151,Imported!$B$2:$B$151,$B124&amp;"",Imported!$C$2:$C$151,$C124&amp;""),0))</f>
        <v/>
      </c>
      <c r="E124">
        <f>IF($A124="","",IFERROR(SUMIFS(Imported!$E$2:$E$151,Imported!$B$2:$B$151,$B124&amp;"",Imported!$C$2:$C$151,$C124&amp;""),0))</f>
        <v/>
      </c>
      <c r="F124" s="16">
        <f>IF($A124="","",IFERROR(SUMIFS(Imported!$F$2:$F$151,Imported!$B$2:$B$151,$B124&amp;"",Imported!$C$2:$C$151,$C124&amp;""),0))</f>
        <v/>
      </c>
      <c r="G124">
        <f>IF($A124="","",IFERROR(SUMIFS(Imported!$G$2:$G$151,Imported!$B$2:$B$151,$B124&amp;"",Imported!$C$2:$C$151,$C124&amp;""),0))</f>
        <v/>
      </c>
      <c r="H124">
        <f>IF($A124="","",IFERROR(SUMIFS(Imported!$H$2:$H$151,Imported!$B$2:$B$151,$B124&amp;"",Imported!$C$2:$C$151,$C124&amp;""),0))</f>
        <v/>
      </c>
    </row>
    <row r="125">
      <c r="A125">
        <f>IF(Roster!A125="","",Roster!A125)</f>
        <v/>
      </c>
      <c r="B125">
        <f>IF($A125="","",Roster!B125)</f>
        <v/>
      </c>
      <c r="C125">
        <f>IF($A125="","",Roster!C125)</f>
        <v/>
      </c>
      <c r="D125">
        <f>IF($A125="","",IFERROR(SUMIFS(Imported!$D$2:$D$151,Imported!$B$2:$B$151,$B125&amp;"",Imported!$C$2:$C$151,$C125&amp;""),0))</f>
        <v/>
      </c>
      <c r="E125">
        <f>IF($A125="","",IFERROR(SUMIFS(Imported!$E$2:$E$151,Imported!$B$2:$B$151,$B125&amp;"",Imported!$C$2:$C$151,$C125&amp;""),0))</f>
        <v/>
      </c>
      <c r="F125" s="16">
        <f>IF($A125="","",IFERROR(SUMIFS(Imported!$F$2:$F$151,Imported!$B$2:$B$151,$B125&amp;"",Imported!$C$2:$C$151,$C125&amp;""),0))</f>
        <v/>
      </c>
      <c r="G125">
        <f>IF($A125="","",IFERROR(SUMIFS(Imported!$G$2:$G$151,Imported!$B$2:$B$151,$B125&amp;"",Imported!$C$2:$C$151,$C125&amp;""),0))</f>
        <v/>
      </c>
      <c r="H125">
        <f>IF($A125="","",IFERROR(SUMIFS(Imported!$H$2:$H$151,Imported!$B$2:$B$151,$B125&amp;"",Imported!$C$2:$C$151,$C125&amp;""),0))</f>
        <v/>
      </c>
    </row>
    <row r="126">
      <c r="A126">
        <f>IF(Roster!A126="","",Roster!A126)</f>
        <v/>
      </c>
      <c r="B126">
        <f>IF($A126="","",Roster!B126)</f>
        <v/>
      </c>
      <c r="C126">
        <f>IF($A126="","",Roster!C126)</f>
        <v/>
      </c>
      <c r="D126">
        <f>IF($A126="","",IFERROR(SUMIFS(Imported!$D$2:$D$151,Imported!$B$2:$B$151,$B126&amp;"",Imported!$C$2:$C$151,$C126&amp;""),0))</f>
        <v/>
      </c>
      <c r="E126">
        <f>IF($A126="","",IFERROR(SUMIFS(Imported!$E$2:$E$151,Imported!$B$2:$B$151,$B126&amp;"",Imported!$C$2:$C$151,$C126&amp;""),0))</f>
        <v/>
      </c>
      <c r="F126" s="16">
        <f>IF($A126="","",IFERROR(SUMIFS(Imported!$F$2:$F$151,Imported!$B$2:$B$151,$B126&amp;"",Imported!$C$2:$C$151,$C126&amp;""),0))</f>
        <v/>
      </c>
      <c r="G126">
        <f>IF($A126="","",IFERROR(SUMIFS(Imported!$G$2:$G$151,Imported!$B$2:$B$151,$B126&amp;"",Imported!$C$2:$C$151,$C126&amp;""),0))</f>
        <v/>
      </c>
      <c r="H126">
        <f>IF($A126="","",IFERROR(SUMIFS(Imported!$H$2:$H$151,Imported!$B$2:$B$151,$B126&amp;"",Imported!$C$2:$C$151,$C126&amp;""),0))</f>
        <v/>
      </c>
    </row>
    <row r="127">
      <c r="A127">
        <f>IF(Roster!A127="","",Roster!A127)</f>
        <v/>
      </c>
      <c r="B127">
        <f>IF($A127="","",Roster!B127)</f>
        <v/>
      </c>
      <c r="C127">
        <f>IF($A127="","",Roster!C127)</f>
        <v/>
      </c>
      <c r="D127">
        <f>IF($A127="","",IFERROR(SUMIFS(Imported!$D$2:$D$151,Imported!$B$2:$B$151,$B127&amp;"",Imported!$C$2:$C$151,$C127&amp;""),0))</f>
        <v/>
      </c>
      <c r="E127">
        <f>IF($A127="","",IFERROR(SUMIFS(Imported!$E$2:$E$151,Imported!$B$2:$B$151,$B127&amp;"",Imported!$C$2:$C$151,$C127&amp;""),0))</f>
        <v/>
      </c>
      <c r="F127" s="16">
        <f>IF($A127="","",IFERROR(SUMIFS(Imported!$F$2:$F$151,Imported!$B$2:$B$151,$B127&amp;"",Imported!$C$2:$C$151,$C127&amp;""),0))</f>
        <v/>
      </c>
      <c r="G127">
        <f>IF($A127="","",IFERROR(SUMIFS(Imported!$G$2:$G$151,Imported!$B$2:$B$151,$B127&amp;"",Imported!$C$2:$C$151,$C127&amp;""),0))</f>
        <v/>
      </c>
      <c r="H127">
        <f>IF($A127="","",IFERROR(SUMIFS(Imported!$H$2:$H$151,Imported!$B$2:$B$151,$B127&amp;"",Imported!$C$2:$C$151,$C127&amp;""),0))</f>
        <v/>
      </c>
    </row>
    <row r="128">
      <c r="A128">
        <f>IF(Roster!A128="","",Roster!A128)</f>
        <v/>
      </c>
      <c r="B128">
        <f>IF($A128="","",Roster!B128)</f>
        <v/>
      </c>
      <c r="C128">
        <f>IF($A128="","",Roster!C128)</f>
        <v/>
      </c>
      <c r="D128">
        <f>IF($A128="","",IFERROR(SUMIFS(Imported!$D$2:$D$151,Imported!$B$2:$B$151,$B128&amp;"",Imported!$C$2:$C$151,$C128&amp;""),0))</f>
        <v/>
      </c>
      <c r="E128">
        <f>IF($A128="","",IFERROR(SUMIFS(Imported!$E$2:$E$151,Imported!$B$2:$B$151,$B128&amp;"",Imported!$C$2:$C$151,$C128&amp;""),0))</f>
        <v/>
      </c>
      <c r="F128" s="16">
        <f>IF($A128="","",IFERROR(SUMIFS(Imported!$F$2:$F$151,Imported!$B$2:$B$151,$B128&amp;"",Imported!$C$2:$C$151,$C128&amp;""),0))</f>
        <v/>
      </c>
      <c r="G128">
        <f>IF($A128="","",IFERROR(SUMIFS(Imported!$G$2:$G$151,Imported!$B$2:$B$151,$B128&amp;"",Imported!$C$2:$C$151,$C128&amp;""),0))</f>
        <v/>
      </c>
      <c r="H128">
        <f>IF($A128="","",IFERROR(SUMIFS(Imported!$H$2:$H$151,Imported!$B$2:$B$151,$B128&amp;"",Imported!$C$2:$C$151,$C128&amp;""),0))</f>
        <v/>
      </c>
    </row>
    <row r="129">
      <c r="A129">
        <f>IF(Roster!A129="","",Roster!A129)</f>
        <v/>
      </c>
      <c r="B129">
        <f>IF($A129="","",Roster!B129)</f>
        <v/>
      </c>
      <c r="C129">
        <f>IF($A129="","",Roster!C129)</f>
        <v/>
      </c>
      <c r="D129">
        <f>IF($A129="","",IFERROR(SUMIFS(Imported!$D$2:$D$151,Imported!$B$2:$B$151,$B129&amp;"",Imported!$C$2:$C$151,$C129&amp;""),0))</f>
        <v/>
      </c>
      <c r="E129">
        <f>IF($A129="","",IFERROR(SUMIFS(Imported!$E$2:$E$151,Imported!$B$2:$B$151,$B129&amp;"",Imported!$C$2:$C$151,$C129&amp;""),0))</f>
        <v/>
      </c>
      <c r="F129" s="16">
        <f>IF($A129="","",IFERROR(SUMIFS(Imported!$F$2:$F$151,Imported!$B$2:$B$151,$B129&amp;"",Imported!$C$2:$C$151,$C129&amp;""),0))</f>
        <v/>
      </c>
      <c r="G129">
        <f>IF($A129="","",IFERROR(SUMIFS(Imported!$G$2:$G$151,Imported!$B$2:$B$151,$B129&amp;"",Imported!$C$2:$C$151,$C129&amp;""),0))</f>
        <v/>
      </c>
      <c r="H129">
        <f>IF($A129="","",IFERROR(SUMIFS(Imported!$H$2:$H$151,Imported!$B$2:$B$151,$B129&amp;"",Imported!$C$2:$C$151,$C129&amp;""),0))</f>
        <v/>
      </c>
    </row>
    <row r="130">
      <c r="A130">
        <f>IF(Roster!A130="","",Roster!A130)</f>
        <v/>
      </c>
      <c r="B130">
        <f>IF($A130="","",Roster!B130)</f>
        <v/>
      </c>
      <c r="C130">
        <f>IF($A130="","",Roster!C130)</f>
        <v/>
      </c>
      <c r="D130">
        <f>IF($A130="","",IFERROR(SUMIFS(Imported!$D$2:$D$151,Imported!$B$2:$B$151,$B130&amp;"",Imported!$C$2:$C$151,$C130&amp;""),0))</f>
        <v/>
      </c>
      <c r="E130">
        <f>IF($A130="","",IFERROR(SUMIFS(Imported!$E$2:$E$151,Imported!$B$2:$B$151,$B130&amp;"",Imported!$C$2:$C$151,$C130&amp;""),0))</f>
        <v/>
      </c>
      <c r="F130" s="16">
        <f>IF($A130="","",IFERROR(SUMIFS(Imported!$F$2:$F$151,Imported!$B$2:$B$151,$B130&amp;"",Imported!$C$2:$C$151,$C130&amp;""),0))</f>
        <v/>
      </c>
      <c r="G130">
        <f>IF($A130="","",IFERROR(SUMIFS(Imported!$G$2:$G$151,Imported!$B$2:$B$151,$B130&amp;"",Imported!$C$2:$C$151,$C130&amp;""),0))</f>
        <v/>
      </c>
      <c r="H130">
        <f>IF($A130="","",IFERROR(SUMIFS(Imported!$H$2:$H$151,Imported!$B$2:$B$151,$B130&amp;"",Imported!$C$2:$C$151,$C130&amp;""),0))</f>
        <v/>
      </c>
    </row>
    <row r="131">
      <c r="A131">
        <f>IF(Roster!A131="","",Roster!A131)</f>
        <v/>
      </c>
      <c r="B131">
        <f>IF($A131="","",Roster!B131)</f>
        <v/>
      </c>
      <c r="C131">
        <f>IF($A131="","",Roster!C131)</f>
        <v/>
      </c>
      <c r="D131">
        <f>IF($A131="","",IFERROR(SUMIFS(Imported!$D$2:$D$151,Imported!$B$2:$B$151,$B131&amp;"",Imported!$C$2:$C$151,$C131&amp;""),0))</f>
        <v/>
      </c>
      <c r="E131">
        <f>IF($A131="","",IFERROR(SUMIFS(Imported!$E$2:$E$151,Imported!$B$2:$B$151,$B131&amp;"",Imported!$C$2:$C$151,$C131&amp;""),0))</f>
        <v/>
      </c>
      <c r="F131" s="16">
        <f>IF($A131="","",IFERROR(SUMIFS(Imported!$F$2:$F$151,Imported!$B$2:$B$151,$B131&amp;"",Imported!$C$2:$C$151,$C131&amp;""),0))</f>
        <v/>
      </c>
      <c r="G131">
        <f>IF($A131="","",IFERROR(SUMIFS(Imported!$G$2:$G$151,Imported!$B$2:$B$151,$B131&amp;"",Imported!$C$2:$C$151,$C131&amp;""),0))</f>
        <v/>
      </c>
      <c r="H131">
        <f>IF($A131="","",IFERROR(SUMIFS(Imported!$H$2:$H$151,Imported!$B$2:$B$151,$B131&amp;"",Imported!$C$2:$C$151,$C131&amp;""),0))</f>
        <v/>
      </c>
    </row>
    <row r="132">
      <c r="A132">
        <f>IF(Roster!A132="","",Roster!A132)</f>
        <v/>
      </c>
      <c r="B132">
        <f>IF($A132="","",Roster!B132)</f>
        <v/>
      </c>
      <c r="C132">
        <f>IF($A132="","",Roster!C132)</f>
        <v/>
      </c>
      <c r="D132">
        <f>IF($A132="","",IFERROR(SUMIFS(Imported!$D$2:$D$151,Imported!$B$2:$B$151,$B132&amp;"",Imported!$C$2:$C$151,$C132&amp;""),0))</f>
        <v/>
      </c>
      <c r="E132">
        <f>IF($A132="","",IFERROR(SUMIFS(Imported!$E$2:$E$151,Imported!$B$2:$B$151,$B132&amp;"",Imported!$C$2:$C$151,$C132&amp;""),0))</f>
        <v/>
      </c>
      <c r="F132" s="16">
        <f>IF($A132="","",IFERROR(SUMIFS(Imported!$F$2:$F$151,Imported!$B$2:$B$151,$B132&amp;"",Imported!$C$2:$C$151,$C132&amp;""),0))</f>
        <v/>
      </c>
      <c r="G132">
        <f>IF($A132="","",IFERROR(SUMIFS(Imported!$G$2:$G$151,Imported!$B$2:$B$151,$B132&amp;"",Imported!$C$2:$C$151,$C132&amp;""),0))</f>
        <v/>
      </c>
      <c r="H132">
        <f>IF($A132="","",IFERROR(SUMIFS(Imported!$H$2:$H$151,Imported!$B$2:$B$151,$B132&amp;"",Imported!$C$2:$C$151,$C132&amp;""),0))</f>
        <v/>
      </c>
    </row>
    <row r="133">
      <c r="A133">
        <f>IF(Roster!A133="","",Roster!A133)</f>
        <v/>
      </c>
      <c r="B133">
        <f>IF($A133="","",Roster!B133)</f>
        <v/>
      </c>
      <c r="C133">
        <f>IF($A133="","",Roster!C133)</f>
        <v/>
      </c>
      <c r="D133">
        <f>IF($A133="","",IFERROR(SUMIFS(Imported!$D$2:$D$151,Imported!$B$2:$B$151,$B133&amp;"",Imported!$C$2:$C$151,$C133&amp;""),0))</f>
        <v/>
      </c>
      <c r="E133">
        <f>IF($A133="","",IFERROR(SUMIFS(Imported!$E$2:$E$151,Imported!$B$2:$B$151,$B133&amp;"",Imported!$C$2:$C$151,$C133&amp;""),0))</f>
        <v/>
      </c>
      <c r="F133" s="16">
        <f>IF($A133="","",IFERROR(SUMIFS(Imported!$F$2:$F$151,Imported!$B$2:$B$151,$B133&amp;"",Imported!$C$2:$C$151,$C133&amp;""),0))</f>
        <v/>
      </c>
      <c r="G133">
        <f>IF($A133="","",IFERROR(SUMIFS(Imported!$G$2:$G$151,Imported!$B$2:$B$151,$B133&amp;"",Imported!$C$2:$C$151,$C133&amp;""),0))</f>
        <v/>
      </c>
      <c r="H133">
        <f>IF($A133="","",IFERROR(SUMIFS(Imported!$H$2:$H$151,Imported!$B$2:$B$151,$B133&amp;"",Imported!$C$2:$C$151,$C133&amp;""),0))</f>
        <v/>
      </c>
    </row>
    <row r="134">
      <c r="A134">
        <f>IF(Roster!A134="","",Roster!A134)</f>
        <v/>
      </c>
      <c r="B134">
        <f>IF($A134="","",Roster!B134)</f>
        <v/>
      </c>
      <c r="C134">
        <f>IF($A134="","",Roster!C134)</f>
        <v/>
      </c>
      <c r="D134">
        <f>IF($A134="","",IFERROR(SUMIFS(Imported!$D$2:$D$151,Imported!$B$2:$B$151,$B134&amp;"",Imported!$C$2:$C$151,$C134&amp;""),0))</f>
        <v/>
      </c>
      <c r="E134">
        <f>IF($A134="","",IFERROR(SUMIFS(Imported!$E$2:$E$151,Imported!$B$2:$B$151,$B134&amp;"",Imported!$C$2:$C$151,$C134&amp;""),0))</f>
        <v/>
      </c>
      <c r="F134" s="16">
        <f>IF($A134="","",IFERROR(SUMIFS(Imported!$F$2:$F$151,Imported!$B$2:$B$151,$B134&amp;"",Imported!$C$2:$C$151,$C134&amp;""),0))</f>
        <v/>
      </c>
      <c r="G134">
        <f>IF($A134="","",IFERROR(SUMIFS(Imported!$G$2:$G$151,Imported!$B$2:$B$151,$B134&amp;"",Imported!$C$2:$C$151,$C134&amp;""),0))</f>
        <v/>
      </c>
      <c r="H134">
        <f>IF($A134="","",IFERROR(SUMIFS(Imported!$H$2:$H$151,Imported!$B$2:$B$151,$B134&amp;"",Imported!$C$2:$C$151,$C134&amp;""),0))</f>
        <v/>
      </c>
    </row>
    <row r="135">
      <c r="A135">
        <f>IF(Roster!A135="","",Roster!A135)</f>
        <v/>
      </c>
      <c r="B135">
        <f>IF($A135="","",Roster!B135)</f>
        <v/>
      </c>
      <c r="C135">
        <f>IF($A135="","",Roster!C135)</f>
        <v/>
      </c>
      <c r="D135">
        <f>IF($A135="","",IFERROR(SUMIFS(Imported!$D$2:$D$151,Imported!$B$2:$B$151,$B135&amp;"",Imported!$C$2:$C$151,$C135&amp;""),0))</f>
        <v/>
      </c>
      <c r="E135">
        <f>IF($A135="","",IFERROR(SUMIFS(Imported!$E$2:$E$151,Imported!$B$2:$B$151,$B135&amp;"",Imported!$C$2:$C$151,$C135&amp;""),0))</f>
        <v/>
      </c>
      <c r="F135" s="16">
        <f>IF($A135="","",IFERROR(SUMIFS(Imported!$F$2:$F$151,Imported!$B$2:$B$151,$B135&amp;"",Imported!$C$2:$C$151,$C135&amp;""),0))</f>
        <v/>
      </c>
      <c r="G135">
        <f>IF($A135="","",IFERROR(SUMIFS(Imported!$G$2:$G$151,Imported!$B$2:$B$151,$B135&amp;"",Imported!$C$2:$C$151,$C135&amp;""),0))</f>
        <v/>
      </c>
      <c r="H135">
        <f>IF($A135="","",IFERROR(SUMIFS(Imported!$H$2:$H$151,Imported!$B$2:$B$151,$B135&amp;"",Imported!$C$2:$C$151,$C135&amp;""),0))</f>
        <v/>
      </c>
    </row>
    <row r="136">
      <c r="A136">
        <f>IF(Roster!A136="","",Roster!A136)</f>
        <v/>
      </c>
      <c r="B136">
        <f>IF($A136="","",Roster!B136)</f>
        <v/>
      </c>
      <c r="C136">
        <f>IF($A136="","",Roster!C136)</f>
        <v/>
      </c>
      <c r="D136">
        <f>IF($A136="","",IFERROR(SUMIFS(Imported!$D$2:$D$151,Imported!$B$2:$B$151,$B136&amp;"",Imported!$C$2:$C$151,$C136&amp;""),0))</f>
        <v/>
      </c>
      <c r="E136">
        <f>IF($A136="","",IFERROR(SUMIFS(Imported!$E$2:$E$151,Imported!$B$2:$B$151,$B136&amp;"",Imported!$C$2:$C$151,$C136&amp;""),0))</f>
        <v/>
      </c>
      <c r="F136" s="16">
        <f>IF($A136="","",IFERROR(SUMIFS(Imported!$F$2:$F$151,Imported!$B$2:$B$151,$B136&amp;"",Imported!$C$2:$C$151,$C136&amp;""),0))</f>
        <v/>
      </c>
      <c r="G136">
        <f>IF($A136="","",IFERROR(SUMIFS(Imported!$G$2:$G$151,Imported!$B$2:$B$151,$B136&amp;"",Imported!$C$2:$C$151,$C136&amp;""),0))</f>
        <v/>
      </c>
      <c r="H136">
        <f>IF($A136="","",IFERROR(SUMIFS(Imported!$H$2:$H$151,Imported!$B$2:$B$151,$B136&amp;"",Imported!$C$2:$C$151,$C136&amp;""),0))</f>
        <v/>
      </c>
    </row>
    <row r="137">
      <c r="A137">
        <f>IF(Roster!A137="","",Roster!A137)</f>
        <v/>
      </c>
      <c r="B137">
        <f>IF($A137="","",Roster!B137)</f>
        <v/>
      </c>
      <c r="C137">
        <f>IF($A137="","",Roster!C137)</f>
        <v/>
      </c>
      <c r="D137">
        <f>IF($A137="","",IFERROR(SUMIFS(Imported!$D$2:$D$151,Imported!$B$2:$B$151,$B137&amp;"",Imported!$C$2:$C$151,$C137&amp;""),0))</f>
        <v/>
      </c>
      <c r="E137">
        <f>IF($A137="","",IFERROR(SUMIFS(Imported!$E$2:$E$151,Imported!$B$2:$B$151,$B137&amp;"",Imported!$C$2:$C$151,$C137&amp;""),0))</f>
        <v/>
      </c>
      <c r="F137" s="16">
        <f>IF($A137="","",IFERROR(SUMIFS(Imported!$F$2:$F$151,Imported!$B$2:$B$151,$B137&amp;"",Imported!$C$2:$C$151,$C137&amp;""),0))</f>
        <v/>
      </c>
      <c r="G137">
        <f>IF($A137="","",IFERROR(SUMIFS(Imported!$G$2:$G$151,Imported!$B$2:$B$151,$B137&amp;"",Imported!$C$2:$C$151,$C137&amp;""),0))</f>
        <v/>
      </c>
      <c r="H137">
        <f>IF($A137="","",IFERROR(SUMIFS(Imported!$H$2:$H$151,Imported!$B$2:$B$151,$B137&amp;"",Imported!$C$2:$C$151,$C137&amp;""),0))</f>
        <v/>
      </c>
    </row>
    <row r="138">
      <c r="A138">
        <f>IF(Roster!A138="","",Roster!A138)</f>
        <v/>
      </c>
      <c r="B138">
        <f>IF($A138="","",Roster!B138)</f>
        <v/>
      </c>
      <c r="C138">
        <f>IF($A138="","",Roster!C138)</f>
        <v/>
      </c>
      <c r="D138">
        <f>IF($A138="","",IFERROR(SUMIFS(Imported!$D$2:$D$151,Imported!$B$2:$B$151,$B138&amp;"",Imported!$C$2:$C$151,$C138&amp;""),0))</f>
        <v/>
      </c>
      <c r="E138">
        <f>IF($A138="","",IFERROR(SUMIFS(Imported!$E$2:$E$151,Imported!$B$2:$B$151,$B138&amp;"",Imported!$C$2:$C$151,$C138&amp;""),0))</f>
        <v/>
      </c>
      <c r="F138" s="16">
        <f>IF($A138="","",IFERROR(SUMIFS(Imported!$F$2:$F$151,Imported!$B$2:$B$151,$B138&amp;"",Imported!$C$2:$C$151,$C138&amp;""),0))</f>
        <v/>
      </c>
      <c r="G138">
        <f>IF($A138="","",IFERROR(SUMIFS(Imported!$G$2:$G$151,Imported!$B$2:$B$151,$B138&amp;"",Imported!$C$2:$C$151,$C138&amp;""),0))</f>
        <v/>
      </c>
      <c r="H138">
        <f>IF($A138="","",IFERROR(SUMIFS(Imported!$H$2:$H$151,Imported!$B$2:$B$151,$B138&amp;"",Imported!$C$2:$C$151,$C138&amp;""),0))</f>
        <v/>
      </c>
    </row>
    <row r="139">
      <c r="A139">
        <f>IF(Roster!A139="","",Roster!A139)</f>
        <v/>
      </c>
      <c r="B139">
        <f>IF($A139="","",Roster!B139)</f>
        <v/>
      </c>
      <c r="C139">
        <f>IF($A139="","",Roster!C139)</f>
        <v/>
      </c>
      <c r="D139">
        <f>IF($A139="","",IFERROR(SUMIFS(Imported!$D$2:$D$151,Imported!$B$2:$B$151,$B139&amp;"",Imported!$C$2:$C$151,$C139&amp;""),0))</f>
        <v/>
      </c>
      <c r="E139">
        <f>IF($A139="","",IFERROR(SUMIFS(Imported!$E$2:$E$151,Imported!$B$2:$B$151,$B139&amp;"",Imported!$C$2:$C$151,$C139&amp;""),0))</f>
        <v/>
      </c>
      <c r="F139" s="16">
        <f>IF($A139="","",IFERROR(SUMIFS(Imported!$F$2:$F$151,Imported!$B$2:$B$151,$B139&amp;"",Imported!$C$2:$C$151,$C139&amp;""),0))</f>
        <v/>
      </c>
      <c r="G139">
        <f>IF($A139="","",IFERROR(SUMIFS(Imported!$G$2:$G$151,Imported!$B$2:$B$151,$B139&amp;"",Imported!$C$2:$C$151,$C139&amp;""),0))</f>
        <v/>
      </c>
      <c r="H139">
        <f>IF($A139="","",IFERROR(SUMIFS(Imported!$H$2:$H$151,Imported!$B$2:$B$151,$B139&amp;"",Imported!$C$2:$C$151,$C139&amp;""),0))</f>
        <v/>
      </c>
    </row>
    <row r="140">
      <c r="A140">
        <f>IF(Roster!A140="","",Roster!A140)</f>
        <v/>
      </c>
      <c r="B140">
        <f>IF($A140="","",Roster!B140)</f>
        <v/>
      </c>
      <c r="C140">
        <f>IF($A140="","",Roster!C140)</f>
        <v/>
      </c>
      <c r="D140">
        <f>IF($A140="","",IFERROR(SUMIFS(Imported!$D$2:$D$151,Imported!$B$2:$B$151,$B140&amp;"",Imported!$C$2:$C$151,$C140&amp;""),0))</f>
        <v/>
      </c>
      <c r="E140">
        <f>IF($A140="","",IFERROR(SUMIFS(Imported!$E$2:$E$151,Imported!$B$2:$B$151,$B140&amp;"",Imported!$C$2:$C$151,$C140&amp;""),0))</f>
        <v/>
      </c>
      <c r="F140" s="16">
        <f>IF($A140="","",IFERROR(SUMIFS(Imported!$F$2:$F$151,Imported!$B$2:$B$151,$B140&amp;"",Imported!$C$2:$C$151,$C140&amp;""),0))</f>
        <v/>
      </c>
      <c r="G140">
        <f>IF($A140="","",IFERROR(SUMIFS(Imported!$G$2:$G$151,Imported!$B$2:$B$151,$B140&amp;"",Imported!$C$2:$C$151,$C140&amp;""),0))</f>
        <v/>
      </c>
      <c r="H140">
        <f>IF($A140="","",IFERROR(SUMIFS(Imported!$H$2:$H$151,Imported!$B$2:$B$151,$B140&amp;"",Imported!$C$2:$C$151,$C140&amp;""),0))</f>
        <v/>
      </c>
    </row>
    <row r="141">
      <c r="A141">
        <f>IF(Roster!A141="","",Roster!A141)</f>
        <v/>
      </c>
      <c r="B141">
        <f>IF($A141="","",Roster!B141)</f>
        <v/>
      </c>
      <c r="C141">
        <f>IF($A141="","",Roster!C141)</f>
        <v/>
      </c>
      <c r="D141">
        <f>IF($A141="","",IFERROR(SUMIFS(Imported!$D$2:$D$151,Imported!$B$2:$B$151,$B141&amp;"",Imported!$C$2:$C$151,$C141&amp;""),0))</f>
        <v/>
      </c>
      <c r="E141">
        <f>IF($A141="","",IFERROR(SUMIFS(Imported!$E$2:$E$151,Imported!$B$2:$B$151,$B141&amp;"",Imported!$C$2:$C$151,$C141&amp;""),0))</f>
        <v/>
      </c>
      <c r="F141" s="16">
        <f>IF($A141="","",IFERROR(SUMIFS(Imported!$F$2:$F$151,Imported!$B$2:$B$151,$B141&amp;"",Imported!$C$2:$C$151,$C141&amp;""),0))</f>
        <v/>
      </c>
      <c r="G141">
        <f>IF($A141="","",IFERROR(SUMIFS(Imported!$G$2:$G$151,Imported!$B$2:$B$151,$B141&amp;"",Imported!$C$2:$C$151,$C141&amp;""),0))</f>
        <v/>
      </c>
      <c r="H141">
        <f>IF($A141="","",IFERROR(SUMIFS(Imported!$H$2:$H$151,Imported!$B$2:$B$151,$B141&amp;"",Imported!$C$2:$C$151,$C141&amp;""),0))</f>
        <v/>
      </c>
    </row>
    <row r="142">
      <c r="A142">
        <f>IF(Roster!A142="","",Roster!A142)</f>
        <v/>
      </c>
      <c r="B142">
        <f>IF($A142="","",Roster!B142)</f>
        <v/>
      </c>
      <c r="C142">
        <f>IF($A142="","",Roster!C142)</f>
        <v/>
      </c>
      <c r="D142">
        <f>IF($A142="","",IFERROR(SUMIFS(Imported!$D$2:$D$151,Imported!$B$2:$B$151,$B142&amp;"",Imported!$C$2:$C$151,$C142&amp;""),0))</f>
        <v/>
      </c>
      <c r="E142">
        <f>IF($A142="","",IFERROR(SUMIFS(Imported!$E$2:$E$151,Imported!$B$2:$B$151,$B142&amp;"",Imported!$C$2:$C$151,$C142&amp;""),0))</f>
        <v/>
      </c>
      <c r="F142" s="16">
        <f>IF($A142="","",IFERROR(SUMIFS(Imported!$F$2:$F$151,Imported!$B$2:$B$151,$B142&amp;"",Imported!$C$2:$C$151,$C142&amp;""),0))</f>
        <v/>
      </c>
      <c r="G142">
        <f>IF($A142="","",IFERROR(SUMIFS(Imported!$G$2:$G$151,Imported!$B$2:$B$151,$B142&amp;"",Imported!$C$2:$C$151,$C142&amp;""),0))</f>
        <v/>
      </c>
      <c r="H142">
        <f>IF($A142="","",IFERROR(SUMIFS(Imported!$H$2:$H$151,Imported!$B$2:$B$151,$B142&amp;"",Imported!$C$2:$C$151,$C142&amp;""),0))</f>
        <v/>
      </c>
    </row>
    <row r="143">
      <c r="A143">
        <f>IF(Roster!A143="","",Roster!A143)</f>
        <v/>
      </c>
      <c r="B143">
        <f>IF($A143="","",Roster!B143)</f>
        <v/>
      </c>
      <c r="C143">
        <f>IF($A143="","",Roster!C143)</f>
        <v/>
      </c>
      <c r="D143">
        <f>IF($A143="","",IFERROR(SUMIFS(Imported!$D$2:$D$151,Imported!$B$2:$B$151,$B143&amp;"",Imported!$C$2:$C$151,$C143&amp;""),0))</f>
        <v/>
      </c>
      <c r="E143">
        <f>IF($A143="","",IFERROR(SUMIFS(Imported!$E$2:$E$151,Imported!$B$2:$B$151,$B143&amp;"",Imported!$C$2:$C$151,$C143&amp;""),0))</f>
        <v/>
      </c>
      <c r="F143" s="16">
        <f>IF($A143="","",IFERROR(SUMIFS(Imported!$F$2:$F$151,Imported!$B$2:$B$151,$B143&amp;"",Imported!$C$2:$C$151,$C143&amp;""),0))</f>
        <v/>
      </c>
      <c r="G143">
        <f>IF($A143="","",IFERROR(SUMIFS(Imported!$G$2:$G$151,Imported!$B$2:$B$151,$B143&amp;"",Imported!$C$2:$C$151,$C143&amp;""),0))</f>
        <v/>
      </c>
      <c r="H143">
        <f>IF($A143="","",IFERROR(SUMIFS(Imported!$H$2:$H$151,Imported!$B$2:$B$151,$B143&amp;"",Imported!$C$2:$C$151,$C143&amp;""),0))</f>
        <v/>
      </c>
    </row>
    <row r="144">
      <c r="A144">
        <f>IF(Roster!A144="","",Roster!A144)</f>
        <v/>
      </c>
      <c r="B144">
        <f>IF($A144="","",Roster!B144)</f>
        <v/>
      </c>
      <c r="C144">
        <f>IF($A144="","",Roster!C144)</f>
        <v/>
      </c>
      <c r="D144">
        <f>IF($A144="","",IFERROR(SUMIFS(Imported!$D$2:$D$151,Imported!$B$2:$B$151,$B144&amp;"",Imported!$C$2:$C$151,$C144&amp;""),0))</f>
        <v/>
      </c>
      <c r="E144">
        <f>IF($A144="","",IFERROR(SUMIFS(Imported!$E$2:$E$151,Imported!$B$2:$B$151,$B144&amp;"",Imported!$C$2:$C$151,$C144&amp;""),0))</f>
        <v/>
      </c>
      <c r="F144" s="16">
        <f>IF($A144="","",IFERROR(SUMIFS(Imported!$F$2:$F$151,Imported!$B$2:$B$151,$B144&amp;"",Imported!$C$2:$C$151,$C144&amp;""),0))</f>
        <v/>
      </c>
      <c r="G144">
        <f>IF($A144="","",IFERROR(SUMIFS(Imported!$G$2:$G$151,Imported!$B$2:$B$151,$B144&amp;"",Imported!$C$2:$C$151,$C144&amp;""),0))</f>
        <v/>
      </c>
      <c r="H144">
        <f>IF($A144="","",IFERROR(SUMIFS(Imported!$H$2:$H$151,Imported!$B$2:$B$151,$B144&amp;"",Imported!$C$2:$C$151,$C144&amp;""),0))</f>
        <v/>
      </c>
    </row>
    <row r="145">
      <c r="A145">
        <f>IF(Roster!A145="","",Roster!A145)</f>
        <v/>
      </c>
      <c r="B145">
        <f>IF($A145="","",Roster!B145)</f>
        <v/>
      </c>
      <c r="C145">
        <f>IF($A145="","",Roster!C145)</f>
        <v/>
      </c>
      <c r="D145">
        <f>IF($A145="","",IFERROR(SUMIFS(Imported!$D$2:$D$151,Imported!$B$2:$B$151,$B145&amp;"",Imported!$C$2:$C$151,$C145&amp;""),0))</f>
        <v/>
      </c>
      <c r="E145">
        <f>IF($A145="","",IFERROR(SUMIFS(Imported!$E$2:$E$151,Imported!$B$2:$B$151,$B145&amp;"",Imported!$C$2:$C$151,$C145&amp;""),0))</f>
        <v/>
      </c>
      <c r="F145" s="16">
        <f>IF($A145="","",IFERROR(SUMIFS(Imported!$F$2:$F$151,Imported!$B$2:$B$151,$B145&amp;"",Imported!$C$2:$C$151,$C145&amp;""),0))</f>
        <v/>
      </c>
      <c r="G145">
        <f>IF($A145="","",IFERROR(SUMIFS(Imported!$G$2:$G$151,Imported!$B$2:$B$151,$B145&amp;"",Imported!$C$2:$C$151,$C145&amp;""),0))</f>
        <v/>
      </c>
      <c r="H145">
        <f>IF($A145="","",IFERROR(SUMIFS(Imported!$H$2:$H$151,Imported!$B$2:$B$151,$B145&amp;"",Imported!$C$2:$C$151,$C145&amp;""),0))</f>
        <v/>
      </c>
    </row>
    <row r="146">
      <c r="A146">
        <f>IF(Roster!A146="","",Roster!A146)</f>
        <v/>
      </c>
      <c r="B146">
        <f>IF($A146="","",Roster!B146)</f>
        <v/>
      </c>
      <c r="C146">
        <f>IF($A146="","",Roster!C146)</f>
        <v/>
      </c>
      <c r="D146">
        <f>IF($A146="","",IFERROR(SUMIFS(Imported!$D$2:$D$151,Imported!$B$2:$B$151,$B146&amp;"",Imported!$C$2:$C$151,$C146&amp;""),0))</f>
        <v/>
      </c>
      <c r="E146">
        <f>IF($A146="","",IFERROR(SUMIFS(Imported!$E$2:$E$151,Imported!$B$2:$B$151,$B146&amp;"",Imported!$C$2:$C$151,$C146&amp;""),0))</f>
        <v/>
      </c>
      <c r="F146" s="16">
        <f>IF($A146="","",IFERROR(SUMIFS(Imported!$F$2:$F$151,Imported!$B$2:$B$151,$B146&amp;"",Imported!$C$2:$C$151,$C146&amp;""),0))</f>
        <v/>
      </c>
      <c r="G146">
        <f>IF($A146="","",IFERROR(SUMIFS(Imported!$G$2:$G$151,Imported!$B$2:$B$151,$B146&amp;"",Imported!$C$2:$C$151,$C146&amp;""),0))</f>
        <v/>
      </c>
      <c r="H146">
        <f>IF($A146="","",IFERROR(SUMIFS(Imported!$H$2:$H$151,Imported!$B$2:$B$151,$B146&amp;"",Imported!$C$2:$C$151,$C146&amp;""),0))</f>
        <v/>
      </c>
    </row>
    <row r="147">
      <c r="A147">
        <f>IF(Roster!A147="","",Roster!A147)</f>
        <v/>
      </c>
      <c r="B147">
        <f>IF($A147="","",Roster!B147)</f>
        <v/>
      </c>
      <c r="C147">
        <f>IF($A147="","",Roster!C147)</f>
        <v/>
      </c>
      <c r="D147">
        <f>IF($A147="","",IFERROR(SUMIFS(Imported!$D$2:$D$151,Imported!$B$2:$B$151,$B147&amp;"",Imported!$C$2:$C$151,$C147&amp;""),0))</f>
        <v/>
      </c>
      <c r="E147">
        <f>IF($A147="","",IFERROR(SUMIFS(Imported!$E$2:$E$151,Imported!$B$2:$B$151,$B147&amp;"",Imported!$C$2:$C$151,$C147&amp;""),0))</f>
        <v/>
      </c>
      <c r="F147" s="16">
        <f>IF($A147="","",IFERROR(SUMIFS(Imported!$F$2:$F$151,Imported!$B$2:$B$151,$B147&amp;"",Imported!$C$2:$C$151,$C147&amp;""),0))</f>
        <v/>
      </c>
      <c r="G147">
        <f>IF($A147="","",IFERROR(SUMIFS(Imported!$G$2:$G$151,Imported!$B$2:$B$151,$B147&amp;"",Imported!$C$2:$C$151,$C147&amp;""),0))</f>
        <v/>
      </c>
      <c r="H147">
        <f>IF($A147="","",IFERROR(SUMIFS(Imported!$H$2:$H$151,Imported!$B$2:$B$151,$B147&amp;"",Imported!$C$2:$C$151,$C147&amp;""),0))</f>
        <v/>
      </c>
    </row>
    <row r="148">
      <c r="A148">
        <f>IF(Roster!A148="","",Roster!A148)</f>
        <v/>
      </c>
      <c r="B148">
        <f>IF($A148="","",Roster!B148)</f>
        <v/>
      </c>
      <c r="C148">
        <f>IF($A148="","",Roster!C148)</f>
        <v/>
      </c>
      <c r="D148">
        <f>IF($A148="","",IFERROR(SUMIFS(Imported!$D$2:$D$151,Imported!$B$2:$B$151,$B148&amp;"",Imported!$C$2:$C$151,$C148&amp;""),0))</f>
        <v/>
      </c>
      <c r="E148">
        <f>IF($A148="","",IFERROR(SUMIFS(Imported!$E$2:$E$151,Imported!$B$2:$B$151,$B148&amp;"",Imported!$C$2:$C$151,$C148&amp;""),0))</f>
        <v/>
      </c>
      <c r="F148" s="16">
        <f>IF($A148="","",IFERROR(SUMIFS(Imported!$F$2:$F$151,Imported!$B$2:$B$151,$B148&amp;"",Imported!$C$2:$C$151,$C148&amp;""),0))</f>
        <v/>
      </c>
      <c r="G148">
        <f>IF($A148="","",IFERROR(SUMIFS(Imported!$G$2:$G$151,Imported!$B$2:$B$151,$B148&amp;"",Imported!$C$2:$C$151,$C148&amp;""),0))</f>
        <v/>
      </c>
      <c r="H148">
        <f>IF($A148="","",IFERROR(SUMIFS(Imported!$H$2:$H$151,Imported!$B$2:$B$151,$B148&amp;"",Imported!$C$2:$C$151,$C148&amp;""),0))</f>
        <v/>
      </c>
    </row>
    <row r="149">
      <c r="A149">
        <f>IF(Roster!A149="","",Roster!A149)</f>
        <v/>
      </c>
      <c r="B149">
        <f>IF($A149="","",Roster!B149)</f>
        <v/>
      </c>
      <c r="C149">
        <f>IF($A149="","",Roster!C149)</f>
        <v/>
      </c>
      <c r="D149">
        <f>IF($A149="","",IFERROR(SUMIFS(Imported!$D$2:$D$151,Imported!$B$2:$B$151,$B149&amp;"",Imported!$C$2:$C$151,$C149&amp;""),0))</f>
        <v/>
      </c>
      <c r="E149">
        <f>IF($A149="","",IFERROR(SUMIFS(Imported!$E$2:$E$151,Imported!$B$2:$B$151,$B149&amp;"",Imported!$C$2:$C$151,$C149&amp;""),0))</f>
        <v/>
      </c>
      <c r="F149" s="16">
        <f>IF($A149="","",IFERROR(SUMIFS(Imported!$F$2:$F$151,Imported!$B$2:$B$151,$B149&amp;"",Imported!$C$2:$C$151,$C149&amp;""),0))</f>
        <v/>
      </c>
      <c r="G149">
        <f>IF($A149="","",IFERROR(SUMIFS(Imported!$G$2:$G$151,Imported!$B$2:$B$151,$B149&amp;"",Imported!$C$2:$C$151,$C149&amp;""),0))</f>
        <v/>
      </c>
      <c r="H149">
        <f>IF($A149="","",IFERROR(SUMIFS(Imported!$H$2:$H$151,Imported!$B$2:$B$151,$B149&amp;"",Imported!$C$2:$C$151,$C149&amp;""),0))</f>
        <v/>
      </c>
    </row>
    <row r="150">
      <c r="A150">
        <f>IF(Roster!A150="","",Roster!A150)</f>
        <v/>
      </c>
      <c r="B150">
        <f>IF($A150="","",Roster!B150)</f>
        <v/>
      </c>
      <c r="C150">
        <f>IF($A150="","",Roster!C150)</f>
        <v/>
      </c>
      <c r="D150">
        <f>IF($A150="","",IFERROR(SUMIFS(Imported!$D$2:$D$151,Imported!$B$2:$B$151,$B150&amp;"",Imported!$C$2:$C$151,$C150&amp;""),0))</f>
        <v/>
      </c>
      <c r="E150">
        <f>IF($A150="","",IFERROR(SUMIFS(Imported!$E$2:$E$151,Imported!$B$2:$B$151,$B150&amp;"",Imported!$C$2:$C$151,$C150&amp;""),0))</f>
        <v/>
      </c>
      <c r="F150" s="16">
        <f>IF($A150="","",IFERROR(SUMIFS(Imported!$F$2:$F$151,Imported!$B$2:$B$151,$B150&amp;"",Imported!$C$2:$C$151,$C150&amp;""),0))</f>
        <v/>
      </c>
      <c r="G150">
        <f>IF($A150="","",IFERROR(SUMIFS(Imported!$G$2:$G$151,Imported!$B$2:$B$151,$B150&amp;"",Imported!$C$2:$C$151,$C150&amp;""),0))</f>
        <v/>
      </c>
      <c r="H150">
        <f>IF($A150="","",IFERROR(SUMIFS(Imported!$H$2:$H$151,Imported!$B$2:$B$151,$B150&amp;"",Imported!$C$2:$C$151,$C150&amp;""),0))</f>
        <v/>
      </c>
    </row>
    <row r="151">
      <c r="A151">
        <f>IF(Roster!A151="","",Roster!A151)</f>
        <v/>
      </c>
      <c r="B151">
        <f>IF($A151="","",Roster!B151)</f>
        <v/>
      </c>
      <c r="C151">
        <f>IF($A151="","",Roster!C151)</f>
        <v/>
      </c>
      <c r="D151">
        <f>IF($A151="","",IFERROR(SUMIFS(Imported!$D$2:$D$151,Imported!$B$2:$B$151,$B151&amp;"",Imported!$C$2:$C$151,$C151&amp;""),0))</f>
        <v/>
      </c>
      <c r="E151">
        <f>IF($A151="","",IFERROR(SUMIFS(Imported!$E$2:$E$151,Imported!$B$2:$B$151,$B151&amp;"",Imported!$C$2:$C$151,$C151&amp;""),0))</f>
        <v/>
      </c>
      <c r="F151" s="16">
        <f>IF($A151="","",IFERROR(SUMIFS(Imported!$F$2:$F$151,Imported!$B$2:$B$151,$B151&amp;"",Imported!$C$2:$C$151,$C151&amp;""),0))</f>
        <v/>
      </c>
      <c r="G151">
        <f>IF($A151="","",IFERROR(SUMIFS(Imported!$G$2:$G$151,Imported!$B$2:$B$151,$B151&amp;"",Imported!$C$2:$C$151,$C151&amp;""),0))</f>
        <v/>
      </c>
      <c r="H151">
        <f>IF($A151="","",IFERROR(SUMIFS(Imported!$H$2:$H$151,Imported!$B$2:$B$151,$B151&amp;"",Imported!$C$2:$C$151,$C151&amp;""),0))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2026-10-07T21:40:25Z</dcterms:created>
  <dcterms:modified xsi:type="dcterms:W3CDTF">2026-10-07T21:40:26Z</dcterms:modified>
</cp:coreProperties>
</file>