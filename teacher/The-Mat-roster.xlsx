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tings" sheetId="2" state="visible" r:id="rId2"/>
    <sheet name="Roster" sheetId="3" state="visible" r:id="rId3"/>
    <sheet name="Slips" sheetId="4" state="visible" r:id="rId4"/>
    <sheet name="Imported" sheetId="5" state="visible" r:id="rId5"/>
    <sheet name="Nam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color rgb="00C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sz val="10"/>
    </font>
    <font>
      <name val="Arial"/>
      <b val="1"/>
      <sz val="14"/>
    </font>
    <font>
      <name val="Arial"/>
      <b val="1"/>
      <sz val="13"/>
    </font>
    <font>
      <name val="Arial"/>
      <sz val="6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dashed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0" fontId="5" fillId="3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0" fontId="0" fillId="0" borderId="1" pivotButton="0" quotePrefix="0" xfId="0"/>
    <xf numFmtId="9" fontId="8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The Mat: roster and student slips</t>
        </is>
      </c>
    </row>
    <row r="2">
      <c r="A2" s="2" t="inlineStr">
        <is>
          <t>KEEP THIS FILE PRIVATE. It holds student names. The Mat class sheet holds only periods and numbers (no names): this file is the only place the two meet.</t>
        </is>
      </c>
    </row>
    <row r="3">
      <c r="A3" s="3" t="inlineStr"/>
    </row>
    <row r="4">
      <c r="A4" s="3" t="inlineStr">
        <is>
          <t>1. Roster tab: paste your class list into the yellow columns: Name (column A) and Period (column B). Student numbers fill in themselves (1, 2, 3 … within each period).</t>
        </is>
      </c>
    </row>
    <row r="5">
      <c r="A5" s="4" t="inlineStr">
        <is>
          <t xml:space="preserve">   Example row:  Alex Rivera | 3   gives   Student number 1, then the next period-3 student gets 2, and so on.</t>
        </is>
      </c>
    </row>
    <row r="6">
      <c r="A6" s="3" t="inlineStr">
        <is>
          <t xml:space="preserve">   Once you have handed out slips, do not sort or insert rows in the Roster (numbers follow the order). To freeze them: select column C, copy, then Edit &gt; Paste special &gt; Values only.</t>
        </is>
      </c>
    </row>
    <row r="7">
      <c r="A7" s="3" t="inlineStr">
        <is>
          <t>2. Slips tab: one slip per student, two across. Print with File &gt; Print &gt; "Current sheet"; pick the pages you need. Use Letter, portrait, margins Narrow, and "Fit to width". The slips are plain text: no ink for fills or boxes.</t>
        </is>
      </c>
    </row>
    <row r="8">
      <c r="A8" s="3" t="inlineStr">
        <is>
          <t>3. Settings tab (optional): the site address printed on the slips, and, for the Named results tab, the address of your class sheet.</t>
        </is>
      </c>
    </row>
    <row r="9">
      <c r="A9" s="3" t="inlineStr">
        <is>
          <t>4. Named results tab: your class sheet's Summary, with names added. It reads your class sheet (read only) with IMPORTRANGE: the first time, click the cell A1 on the "Imported" tab and choose Allow access.</t>
        </is>
      </c>
    </row>
    <row r="10">
      <c r="A10" s="3" t="inlineStr"/>
    </row>
    <row r="11">
      <c r="A11" s="3" t="inlineStr">
        <is>
          <t>Students sign in on The Mat with their school Google account and type the Period and Student number from their slip. That is how you tell who is who; the class sheet never learns a name or an email.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</cols>
  <sheetData>
    <row r="1">
      <c r="A1" s="5" t="inlineStr">
        <is>
          <t>Site address printed on the slips</t>
        </is>
      </c>
      <c r="B1" s="6" t="inlineStr">
        <is>
          <t>karlmaukskoepke.github.io/AlgebraMat</t>
        </is>
      </c>
    </row>
    <row r="2">
      <c r="A2" s="5" t="inlineStr">
        <is>
          <t>Class sheet web address (for Named results)</t>
        </is>
      </c>
      <c r="B2" s="6" t="inlineStr"/>
    </row>
    <row r="3">
      <c r="A3" s="7" t="inlineStr">
        <is>
          <t>Paste the address of your class sheet (the Google Sheet's own web address in the browser bar) in B2. Yellow cells are the ones to edit.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6" customWidth="1" min="3" max="3"/>
  </cols>
  <sheetData>
    <row r="1">
      <c r="A1" s="8" t="inlineStr">
        <is>
          <t>Name</t>
        </is>
      </c>
      <c r="B1" s="8" t="inlineStr">
        <is>
          <t>Period</t>
        </is>
      </c>
      <c r="C1" s="8" t="inlineStr">
        <is>
          <t>Student number</t>
        </is>
      </c>
    </row>
    <row r="2">
      <c r="A2" s="6" t="n"/>
      <c r="B2" s="6" t="n"/>
      <c r="C2" s="9">
        <f>IF(OR(A2="",B2=""),"",COUNTIF(B$2:B2,B2))</f>
        <v/>
      </c>
    </row>
    <row r="3">
      <c r="A3" s="6" t="n"/>
      <c r="B3" s="6" t="n"/>
      <c r="C3" s="9">
        <f>IF(OR(A3="",B3=""),"",COUNTIF(B$2:B3,B3))</f>
        <v/>
      </c>
    </row>
    <row r="4">
      <c r="A4" s="6" t="n"/>
      <c r="B4" s="6" t="n"/>
      <c r="C4" s="9">
        <f>IF(OR(A4="",B4=""),"",COUNTIF(B$2:B4,B4))</f>
        <v/>
      </c>
    </row>
    <row r="5">
      <c r="A5" s="6" t="n"/>
      <c r="B5" s="6" t="n"/>
      <c r="C5" s="9">
        <f>IF(OR(A5="",B5=""),"",COUNTIF(B$2:B5,B5))</f>
        <v/>
      </c>
    </row>
    <row r="6">
      <c r="A6" s="6" t="n"/>
      <c r="B6" s="6" t="n"/>
      <c r="C6" s="9">
        <f>IF(OR(A6="",B6=""),"",COUNTIF(B$2:B6,B6))</f>
        <v/>
      </c>
    </row>
    <row r="7">
      <c r="A7" s="6" t="n"/>
      <c r="B7" s="6" t="n"/>
      <c r="C7" s="9">
        <f>IF(OR(A7="",B7=""),"",COUNTIF(B$2:B7,B7))</f>
        <v/>
      </c>
    </row>
    <row r="8">
      <c r="A8" s="6" t="n"/>
      <c r="B8" s="6" t="n"/>
      <c r="C8" s="9">
        <f>IF(OR(A8="",B8=""),"",COUNTIF(B$2:B8,B8))</f>
        <v/>
      </c>
    </row>
    <row r="9">
      <c r="A9" s="6" t="n"/>
      <c r="B9" s="6" t="n"/>
      <c r="C9" s="9">
        <f>IF(OR(A9="",B9=""),"",COUNTIF(B$2:B9,B9))</f>
        <v/>
      </c>
    </row>
    <row r="10">
      <c r="A10" s="6" t="n"/>
      <c r="B10" s="6" t="n"/>
      <c r="C10" s="9">
        <f>IF(OR(A10="",B10=""),"",COUNTIF(B$2:B10,B10))</f>
        <v/>
      </c>
    </row>
    <row r="11">
      <c r="A11" s="6" t="n"/>
      <c r="B11" s="6" t="n"/>
      <c r="C11" s="9">
        <f>IF(OR(A11="",B11=""),"",COUNTIF(B$2:B11,B11))</f>
        <v/>
      </c>
    </row>
    <row r="12">
      <c r="A12" s="6" t="n"/>
      <c r="B12" s="6" t="n"/>
      <c r="C12" s="9">
        <f>IF(OR(A12="",B12=""),"",COUNTIF(B$2:B12,B12))</f>
        <v/>
      </c>
    </row>
    <row r="13">
      <c r="A13" s="6" t="n"/>
      <c r="B13" s="6" t="n"/>
      <c r="C13" s="9">
        <f>IF(OR(A13="",B13=""),"",COUNTIF(B$2:B13,B13))</f>
        <v/>
      </c>
    </row>
    <row r="14">
      <c r="A14" s="6" t="n"/>
      <c r="B14" s="6" t="n"/>
      <c r="C14" s="9">
        <f>IF(OR(A14="",B14=""),"",COUNTIF(B$2:B14,B14))</f>
        <v/>
      </c>
    </row>
    <row r="15">
      <c r="A15" s="6" t="n"/>
      <c r="B15" s="6" t="n"/>
      <c r="C15" s="9">
        <f>IF(OR(A15="",B15=""),"",COUNTIF(B$2:B15,B15))</f>
        <v/>
      </c>
    </row>
    <row r="16">
      <c r="A16" s="6" t="n"/>
      <c r="B16" s="6" t="n"/>
      <c r="C16" s="9">
        <f>IF(OR(A16="",B16=""),"",COUNTIF(B$2:B16,B16))</f>
        <v/>
      </c>
    </row>
    <row r="17">
      <c r="A17" s="6" t="n"/>
      <c r="B17" s="6" t="n"/>
      <c r="C17" s="9">
        <f>IF(OR(A17="",B17=""),"",COUNTIF(B$2:B17,B17))</f>
        <v/>
      </c>
    </row>
    <row r="18">
      <c r="A18" s="6" t="n"/>
      <c r="B18" s="6" t="n"/>
      <c r="C18" s="9">
        <f>IF(OR(A18="",B18=""),"",COUNTIF(B$2:B18,B18))</f>
        <v/>
      </c>
    </row>
    <row r="19">
      <c r="A19" s="6" t="n"/>
      <c r="B19" s="6" t="n"/>
      <c r="C19" s="9">
        <f>IF(OR(A19="",B19=""),"",COUNTIF(B$2:B19,B19))</f>
        <v/>
      </c>
    </row>
    <row r="20">
      <c r="A20" s="6" t="n"/>
      <c r="B20" s="6" t="n"/>
      <c r="C20" s="9">
        <f>IF(OR(A20="",B20=""),"",COUNTIF(B$2:B20,B20))</f>
        <v/>
      </c>
    </row>
    <row r="21">
      <c r="A21" s="6" t="n"/>
      <c r="B21" s="6" t="n"/>
      <c r="C21" s="9">
        <f>IF(OR(A21="",B21=""),"",COUNTIF(B$2:B21,B21))</f>
        <v/>
      </c>
    </row>
    <row r="22">
      <c r="A22" s="6" t="n"/>
      <c r="B22" s="6" t="n"/>
      <c r="C22" s="9">
        <f>IF(OR(A22="",B22=""),"",COUNTIF(B$2:B22,B22))</f>
        <v/>
      </c>
    </row>
    <row r="23">
      <c r="A23" s="6" t="n"/>
      <c r="B23" s="6" t="n"/>
      <c r="C23" s="9">
        <f>IF(OR(A23="",B23=""),"",COUNTIF(B$2:B23,B23))</f>
        <v/>
      </c>
    </row>
    <row r="24">
      <c r="A24" s="6" t="n"/>
      <c r="B24" s="6" t="n"/>
      <c r="C24" s="9">
        <f>IF(OR(A24="",B24=""),"",COUNTIF(B$2:B24,B24))</f>
        <v/>
      </c>
    </row>
    <row r="25">
      <c r="A25" s="6" t="n"/>
      <c r="B25" s="6" t="n"/>
      <c r="C25" s="9">
        <f>IF(OR(A25="",B25=""),"",COUNTIF(B$2:B25,B25))</f>
        <v/>
      </c>
    </row>
    <row r="26">
      <c r="A26" s="6" t="n"/>
      <c r="B26" s="6" t="n"/>
      <c r="C26" s="9">
        <f>IF(OR(A26="",B26=""),"",COUNTIF(B$2:B26,B26))</f>
        <v/>
      </c>
    </row>
    <row r="27">
      <c r="A27" s="6" t="n"/>
      <c r="B27" s="6" t="n"/>
      <c r="C27" s="9">
        <f>IF(OR(A27="",B27=""),"",COUNTIF(B$2:B27,B27))</f>
        <v/>
      </c>
    </row>
    <row r="28">
      <c r="A28" s="6" t="n"/>
      <c r="B28" s="6" t="n"/>
      <c r="C28" s="9">
        <f>IF(OR(A28="",B28=""),"",COUNTIF(B$2:B28,B28))</f>
        <v/>
      </c>
    </row>
    <row r="29">
      <c r="A29" s="6" t="n"/>
      <c r="B29" s="6" t="n"/>
      <c r="C29" s="9">
        <f>IF(OR(A29="",B29=""),"",COUNTIF(B$2:B29,B29))</f>
        <v/>
      </c>
    </row>
    <row r="30">
      <c r="A30" s="6" t="n"/>
      <c r="B30" s="6" t="n"/>
      <c r="C30" s="9">
        <f>IF(OR(A30="",B30=""),"",COUNTIF(B$2:B30,B30))</f>
        <v/>
      </c>
    </row>
    <row r="31">
      <c r="A31" s="6" t="n"/>
      <c r="B31" s="6" t="n"/>
      <c r="C31" s="9">
        <f>IF(OR(A31="",B31=""),"",COUNTIF(B$2:B31,B31))</f>
        <v/>
      </c>
    </row>
    <row r="32">
      <c r="A32" s="6" t="n"/>
      <c r="B32" s="6" t="n"/>
      <c r="C32" s="9">
        <f>IF(OR(A32="",B32=""),"",COUNTIF(B$2:B32,B32))</f>
        <v/>
      </c>
    </row>
    <row r="33">
      <c r="A33" s="6" t="n"/>
      <c r="B33" s="6" t="n"/>
      <c r="C33" s="9">
        <f>IF(OR(A33="",B33=""),"",COUNTIF(B$2:B33,B33))</f>
        <v/>
      </c>
    </row>
    <row r="34">
      <c r="A34" s="6" t="n"/>
      <c r="B34" s="6" t="n"/>
      <c r="C34" s="9">
        <f>IF(OR(A34="",B34=""),"",COUNTIF(B$2:B34,B34))</f>
        <v/>
      </c>
    </row>
    <row r="35">
      <c r="A35" s="6" t="n"/>
      <c r="B35" s="6" t="n"/>
      <c r="C35" s="9">
        <f>IF(OR(A35="",B35=""),"",COUNTIF(B$2:B35,B35))</f>
        <v/>
      </c>
    </row>
    <row r="36">
      <c r="A36" s="6" t="n"/>
      <c r="B36" s="6" t="n"/>
      <c r="C36" s="9">
        <f>IF(OR(A36="",B36=""),"",COUNTIF(B$2:B36,B36))</f>
        <v/>
      </c>
    </row>
    <row r="37">
      <c r="A37" s="6" t="n"/>
      <c r="B37" s="6" t="n"/>
      <c r="C37" s="9">
        <f>IF(OR(A37="",B37=""),"",COUNTIF(B$2:B37,B37))</f>
        <v/>
      </c>
    </row>
    <row r="38">
      <c r="A38" s="6" t="n"/>
      <c r="B38" s="6" t="n"/>
      <c r="C38" s="9">
        <f>IF(OR(A38="",B38=""),"",COUNTIF(B$2:B38,B38))</f>
        <v/>
      </c>
    </row>
    <row r="39">
      <c r="A39" s="6" t="n"/>
      <c r="B39" s="6" t="n"/>
      <c r="C39" s="9">
        <f>IF(OR(A39="",B39=""),"",COUNTIF(B$2:B39,B39))</f>
        <v/>
      </c>
    </row>
    <row r="40">
      <c r="A40" s="6" t="n"/>
      <c r="B40" s="6" t="n"/>
      <c r="C40" s="9">
        <f>IF(OR(A40="",B40=""),"",COUNTIF(B$2:B40,B40))</f>
        <v/>
      </c>
    </row>
    <row r="41">
      <c r="A41" s="6" t="n"/>
      <c r="B41" s="6" t="n"/>
      <c r="C41" s="9">
        <f>IF(OR(A41="",B41=""),"",COUNTIF(B$2:B41,B41))</f>
        <v/>
      </c>
    </row>
    <row r="42">
      <c r="A42" s="6" t="n"/>
      <c r="B42" s="6" t="n"/>
      <c r="C42" s="9">
        <f>IF(OR(A42="",B42=""),"",COUNTIF(B$2:B42,B42))</f>
        <v/>
      </c>
    </row>
    <row r="43">
      <c r="A43" s="6" t="n"/>
      <c r="B43" s="6" t="n"/>
      <c r="C43" s="9">
        <f>IF(OR(A43="",B43=""),"",COUNTIF(B$2:B43,B43))</f>
        <v/>
      </c>
    </row>
    <row r="44">
      <c r="A44" s="6" t="n"/>
      <c r="B44" s="6" t="n"/>
      <c r="C44" s="9">
        <f>IF(OR(A44="",B44=""),"",COUNTIF(B$2:B44,B44))</f>
        <v/>
      </c>
    </row>
    <row r="45">
      <c r="A45" s="6" t="n"/>
      <c r="B45" s="6" t="n"/>
      <c r="C45" s="9">
        <f>IF(OR(A45="",B45=""),"",COUNTIF(B$2:B45,B45))</f>
        <v/>
      </c>
    </row>
    <row r="46">
      <c r="A46" s="6" t="n"/>
      <c r="B46" s="6" t="n"/>
      <c r="C46" s="9">
        <f>IF(OR(A46="",B46=""),"",COUNTIF(B$2:B46,B46))</f>
        <v/>
      </c>
    </row>
    <row r="47">
      <c r="A47" s="6" t="n"/>
      <c r="B47" s="6" t="n"/>
      <c r="C47" s="9">
        <f>IF(OR(A47="",B47=""),"",COUNTIF(B$2:B47,B47))</f>
        <v/>
      </c>
    </row>
    <row r="48">
      <c r="A48" s="6" t="n"/>
      <c r="B48" s="6" t="n"/>
      <c r="C48" s="9">
        <f>IF(OR(A48="",B48=""),"",COUNTIF(B$2:B48,B48))</f>
        <v/>
      </c>
    </row>
    <row r="49">
      <c r="A49" s="6" t="n"/>
      <c r="B49" s="6" t="n"/>
      <c r="C49" s="9">
        <f>IF(OR(A49="",B49=""),"",COUNTIF(B$2:B49,B49))</f>
        <v/>
      </c>
    </row>
    <row r="50">
      <c r="A50" s="6" t="n"/>
      <c r="B50" s="6" t="n"/>
      <c r="C50" s="9">
        <f>IF(OR(A50="",B50=""),"",COUNTIF(B$2:B50,B50))</f>
        <v/>
      </c>
    </row>
    <row r="51">
      <c r="A51" s="6" t="n"/>
      <c r="B51" s="6" t="n"/>
      <c r="C51" s="9">
        <f>IF(OR(A51="",B51=""),"",COUNTIF(B$2:B51,B51))</f>
        <v/>
      </c>
    </row>
    <row r="52">
      <c r="A52" s="6" t="n"/>
      <c r="B52" s="6" t="n"/>
      <c r="C52" s="9">
        <f>IF(OR(A52="",B52=""),"",COUNTIF(B$2:B52,B52))</f>
        <v/>
      </c>
    </row>
    <row r="53">
      <c r="A53" s="6" t="n"/>
      <c r="B53" s="6" t="n"/>
      <c r="C53" s="9">
        <f>IF(OR(A53="",B53=""),"",COUNTIF(B$2:B53,B53))</f>
        <v/>
      </c>
    </row>
    <row r="54">
      <c r="A54" s="6" t="n"/>
      <c r="B54" s="6" t="n"/>
      <c r="C54" s="9">
        <f>IF(OR(A54="",B54=""),"",COUNTIF(B$2:B54,B54))</f>
        <v/>
      </c>
    </row>
    <row r="55">
      <c r="A55" s="6" t="n"/>
      <c r="B55" s="6" t="n"/>
      <c r="C55" s="9">
        <f>IF(OR(A55="",B55=""),"",COUNTIF(B$2:B55,B55))</f>
        <v/>
      </c>
    </row>
    <row r="56">
      <c r="A56" s="6" t="n"/>
      <c r="B56" s="6" t="n"/>
      <c r="C56" s="9">
        <f>IF(OR(A56="",B56=""),"",COUNTIF(B$2:B56,B56))</f>
        <v/>
      </c>
    </row>
    <row r="57">
      <c r="A57" s="6" t="n"/>
      <c r="B57" s="6" t="n"/>
      <c r="C57" s="9">
        <f>IF(OR(A57="",B57=""),"",COUNTIF(B$2:B57,B57))</f>
        <v/>
      </c>
    </row>
    <row r="58">
      <c r="A58" s="6" t="n"/>
      <c r="B58" s="6" t="n"/>
      <c r="C58" s="9">
        <f>IF(OR(A58="",B58=""),"",COUNTIF(B$2:B58,B58))</f>
        <v/>
      </c>
    </row>
    <row r="59">
      <c r="A59" s="6" t="n"/>
      <c r="B59" s="6" t="n"/>
      <c r="C59" s="9">
        <f>IF(OR(A59="",B59=""),"",COUNTIF(B$2:B59,B59))</f>
        <v/>
      </c>
    </row>
    <row r="60">
      <c r="A60" s="6" t="n"/>
      <c r="B60" s="6" t="n"/>
      <c r="C60" s="9">
        <f>IF(OR(A60="",B60=""),"",COUNTIF(B$2:B60,B60))</f>
        <v/>
      </c>
    </row>
    <row r="61">
      <c r="A61" s="6" t="n"/>
      <c r="B61" s="6" t="n"/>
      <c r="C61" s="9">
        <f>IF(OR(A61="",B61=""),"",COUNTIF(B$2:B61,B61))</f>
        <v/>
      </c>
    </row>
    <row r="62">
      <c r="A62" s="6" t="n"/>
      <c r="B62" s="6" t="n"/>
      <c r="C62" s="9">
        <f>IF(OR(A62="",B62=""),"",COUNTIF(B$2:B62,B62))</f>
        <v/>
      </c>
    </row>
    <row r="63">
      <c r="A63" s="6" t="n"/>
      <c r="B63" s="6" t="n"/>
      <c r="C63" s="9">
        <f>IF(OR(A63="",B63=""),"",COUNTIF(B$2:B63,B63))</f>
        <v/>
      </c>
    </row>
    <row r="64">
      <c r="A64" s="6" t="n"/>
      <c r="B64" s="6" t="n"/>
      <c r="C64" s="9">
        <f>IF(OR(A64="",B64=""),"",COUNTIF(B$2:B64,B64))</f>
        <v/>
      </c>
    </row>
    <row r="65">
      <c r="A65" s="6" t="n"/>
      <c r="B65" s="6" t="n"/>
      <c r="C65" s="9">
        <f>IF(OR(A65="",B65=""),"",COUNTIF(B$2:B65,B65))</f>
        <v/>
      </c>
    </row>
    <row r="66">
      <c r="A66" s="6" t="n"/>
      <c r="B66" s="6" t="n"/>
      <c r="C66" s="9">
        <f>IF(OR(A66="",B66=""),"",COUNTIF(B$2:B66,B66))</f>
        <v/>
      </c>
    </row>
    <row r="67">
      <c r="A67" s="6" t="n"/>
      <c r="B67" s="6" t="n"/>
      <c r="C67" s="9">
        <f>IF(OR(A67="",B67=""),"",COUNTIF(B$2:B67,B67))</f>
        <v/>
      </c>
    </row>
    <row r="68">
      <c r="A68" s="6" t="n"/>
      <c r="B68" s="6" t="n"/>
      <c r="C68" s="9">
        <f>IF(OR(A68="",B68=""),"",COUNTIF(B$2:B68,B68))</f>
        <v/>
      </c>
    </row>
    <row r="69">
      <c r="A69" s="6" t="n"/>
      <c r="B69" s="6" t="n"/>
      <c r="C69" s="9">
        <f>IF(OR(A69="",B69=""),"",COUNTIF(B$2:B69,B69))</f>
        <v/>
      </c>
    </row>
    <row r="70">
      <c r="A70" s="6" t="n"/>
      <c r="B70" s="6" t="n"/>
      <c r="C70" s="9">
        <f>IF(OR(A70="",B70=""),"",COUNTIF(B$2:B70,B70))</f>
        <v/>
      </c>
    </row>
    <row r="71">
      <c r="A71" s="6" t="n"/>
      <c r="B71" s="6" t="n"/>
      <c r="C71" s="9">
        <f>IF(OR(A71="",B71=""),"",COUNTIF(B$2:B71,B71))</f>
        <v/>
      </c>
    </row>
    <row r="72">
      <c r="A72" s="6" t="n"/>
      <c r="B72" s="6" t="n"/>
      <c r="C72" s="9">
        <f>IF(OR(A72="",B72=""),"",COUNTIF(B$2:B72,B72))</f>
        <v/>
      </c>
    </row>
    <row r="73">
      <c r="A73" s="6" t="n"/>
      <c r="B73" s="6" t="n"/>
      <c r="C73" s="9">
        <f>IF(OR(A73="",B73=""),"",COUNTIF(B$2:B73,B73))</f>
        <v/>
      </c>
    </row>
    <row r="74">
      <c r="A74" s="6" t="n"/>
      <c r="B74" s="6" t="n"/>
      <c r="C74" s="9">
        <f>IF(OR(A74="",B74=""),"",COUNTIF(B$2:B74,B74))</f>
        <v/>
      </c>
    </row>
    <row r="75">
      <c r="A75" s="6" t="n"/>
      <c r="B75" s="6" t="n"/>
      <c r="C75" s="9">
        <f>IF(OR(A75="",B75=""),"",COUNTIF(B$2:B75,B75))</f>
        <v/>
      </c>
    </row>
    <row r="76">
      <c r="A76" s="6" t="n"/>
      <c r="B76" s="6" t="n"/>
      <c r="C76" s="9">
        <f>IF(OR(A76="",B76=""),"",COUNTIF(B$2:B76,B76))</f>
        <v/>
      </c>
    </row>
    <row r="77">
      <c r="A77" s="6" t="n"/>
      <c r="B77" s="6" t="n"/>
      <c r="C77" s="9">
        <f>IF(OR(A77="",B77=""),"",COUNTIF(B$2:B77,B77))</f>
        <v/>
      </c>
    </row>
    <row r="78">
      <c r="A78" s="6" t="n"/>
      <c r="B78" s="6" t="n"/>
      <c r="C78" s="9">
        <f>IF(OR(A78="",B78=""),"",COUNTIF(B$2:B78,B78))</f>
        <v/>
      </c>
    </row>
    <row r="79">
      <c r="A79" s="6" t="n"/>
      <c r="B79" s="6" t="n"/>
      <c r="C79" s="9">
        <f>IF(OR(A79="",B79=""),"",COUNTIF(B$2:B79,B79))</f>
        <v/>
      </c>
    </row>
    <row r="80">
      <c r="A80" s="6" t="n"/>
      <c r="B80" s="6" t="n"/>
      <c r="C80" s="9">
        <f>IF(OR(A80="",B80=""),"",COUNTIF(B$2:B80,B80))</f>
        <v/>
      </c>
    </row>
    <row r="81">
      <c r="A81" s="6" t="n"/>
      <c r="B81" s="6" t="n"/>
      <c r="C81" s="9">
        <f>IF(OR(A81="",B81=""),"",COUNTIF(B$2:B81,B81))</f>
        <v/>
      </c>
    </row>
    <row r="82">
      <c r="A82" s="6" t="n"/>
      <c r="B82" s="6" t="n"/>
      <c r="C82" s="9">
        <f>IF(OR(A82="",B82=""),"",COUNTIF(B$2:B82,B82))</f>
        <v/>
      </c>
    </row>
    <row r="83">
      <c r="A83" s="6" t="n"/>
      <c r="B83" s="6" t="n"/>
      <c r="C83" s="9">
        <f>IF(OR(A83="",B83=""),"",COUNTIF(B$2:B83,B83))</f>
        <v/>
      </c>
    </row>
    <row r="84">
      <c r="A84" s="6" t="n"/>
      <c r="B84" s="6" t="n"/>
      <c r="C84" s="9">
        <f>IF(OR(A84="",B84=""),"",COUNTIF(B$2:B84,B84))</f>
        <v/>
      </c>
    </row>
    <row r="85">
      <c r="A85" s="6" t="n"/>
      <c r="B85" s="6" t="n"/>
      <c r="C85" s="9">
        <f>IF(OR(A85="",B85=""),"",COUNTIF(B$2:B85,B85))</f>
        <v/>
      </c>
    </row>
    <row r="86">
      <c r="A86" s="6" t="n"/>
      <c r="B86" s="6" t="n"/>
      <c r="C86" s="9">
        <f>IF(OR(A86="",B86=""),"",COUNTIF(B$2:B86,B86))</f>
        <v/>
      </c>
    </row>
    <row r="87">
      <c r="A87" s="6" t="n"/>
      <c r="B87" s="6" t="n"/>
      <c r="C87" s="9">
        <f>IF(OR(A87="",B87=""),"",COUNTIF(B$2:B87,B87))</f>
        <v/>
      </c>
    </row>
    <row r="88">
      <c r="A88" s="6" t="n"/>
      <c r="B88" s="6" t="n"/>
      <c r="C88" s="9">
        <f>IF(OR(A88="",B88=""),"",COUNTIF(B$2:B88,B88))</f>
        <v/>
      </c>
    </row>
    <row r="89">
      <c r="A89" s="6" t="n"/>
      <c r="B89" s="6" t="n"/>
      <c r="C89" s="9">
        <f>IF(OR(A89="",B89=""),"",COUNTIF(B$2:B89,B89))</f>
        <v/>
      </c>
    </row>
    <row r="90">
      <c r="A90" s="6" t="n"/>
      <c r="B90" s="6" t="n"/>
      <c r="C90" s="9">
        <f>IF(OR(A90="",B90=""),"",COUNTIF(B$2:B90,B90))</f>
        <v/>
      </c>
    </row>
    <row r="91">
      <c r="A91" s="6" t="n"/>
      <c r="B91" s="6" t="n"/>
      <c r="C91" s="9">
        <f>IF(OR(A91="",B91=""),"",COUNTIF(B$2:B91,B91))</f>
        <v/>
      </c>
    </row>
    <row r="92">
      <c r="A92" s="6" t="n"/>
      <c r="B92" s="6" t="n"/>
      <c r="C92" s="9">
        <f>IF(OR(A92="",B92=""),"",COUNTIF(B$2:B92,B92))</f>
        <v/>
      </c>
    </row>
    <row r="93">
      <c r="A93" s="6" t="n"/>
      <c r="B93" s="6" t="n"/>
      <c r="C93" s="9">
        <f>IF(OR(A93="",B93=""),"",COUNTIF(B$2:B93,B93))</f>
        <v/>
      </c>
    </row>
    <row r="94">
      <c r="A94" s="6" t="n"/>
      <c r="B94" s="6" t="n"/>
      <c r="C94" s="9">
        <f>IF(OR(A94="",B94=""),"",COUNTIF(B$2:B94,B94))</f>
        <v/>
      </c>
    </row>
    <row r="95">
      <c r="A95" s="6" t="n"/>
      <c r="B95" s="6" t="n"/>
      <c r="C95" s="9">
        <f>IF(OR(A95="",B95=""),"",COUNTIF(B$2:B95,B95))</f>
        <v/>
      </c>
    </row>
    <row r="96">
      <c r="A96" s="6" t="n"/>
      <c r="B96" s="6" t="n"/>
      <c r="C96" s="9">
        <f>IF(OR(A96="",B96=""),"",COUNTIF(B$2:B96,B96))</f>
        <v/>
      </c>
    </row>
    <row r="97">
      <c r="A97" s="6" t="n"/>
      <c r="B97" s="6" t="n"/>
      <c r="C97" s="9">
        <f>IF(OR(A97="",B97=""),"",COUNTIF(B$2:B97,B97))</f>
        <v/>
      </c>
    </row>
    <row r="98">
      <c r="A98" s="6" t="n"/>
      <c r="B98" s="6" t="n"/>
      <c r="C98" s="9">
        <f>IF(OR(A98="",B98=""),"",COUNTIF(B$2:B98,B98))</f>
        <v/>
      </c>
    </row>
    <row r="99">
      <c r="A99" s="6" t="n"/>
      <c r="B99" s="6" t="n"/>
      <c r="C99" s="9">
        <f>IF(OR(A99="",B99=""),"",COUNTIF(B$2:B99,B99))</f>
        <v/>
      </c>
    </row>
    <row r="100">
      <c r="A100" s="6" t="n"/>
      <c r="B100" s="6" t="n"/>
      <c r="C100" s="9">
        <f>IF(OR(A100="",B100=""),"",COUNTIF(B$2:B100,B100))</f>
        <v/>
      </c>
    </row>
    <row r="101">
      <c r="A101" s="6" t="n"/>
      <c r="B101" s="6" t="n"/>
      <c r="C101" s="9">
        <f>IF(OR(A101="",B101=""),"",COUNTIF(B$2:B101,B101))</f>
        <v/>
      </c>
    </row>
    <row r="102">
      <c r="A102" s="6" t="n"/>
      <c r="B102" s="6" t="n"/>
      <c r="C102" s="9">
        <f>IF(OR(A102="",B102=""),"",COUNTIF(B$2:B102,B102))</f>
        <v/>
      </c>
    </row>
    <row r="103">
      <c r="A103" s="6" t="n"/>
      <c r="B103" s="6" t="n"/>
      <c r="C103" s="9">
        <f>IF(OR(A103="",B103=""),"",COUNTIF(B$2:B103,B103))</f>
        <v/>
      </c>
    </row>
    <row r="104">
      <c r="A104" s="6" t="n"/>
      <c r="B104" s="6" t="n"/>
      <c r="C104" s="9">
        <f>IF(OR(A104="",B104=""),"",COUNTIF(B$2:B104,B104))</f>
        <v/>
      </c>
    </row>
    <row r="105">
      <c r="A105" s="6" t="n"/>
      <c r="B105" s="6" t="n"/>
      <c r="C105" s="9">
        <f>IF(OR(A105="",B105=""),"",COUNTIF(B$2:B105,B105))</f>
        <v/>
      </c>
    </row>
    <row r="106">
      <c r="A106" s="6" t="n"/>
      <c r="B106" s="6" t="n"/>
      <c r="C106" s="9">
        <f>IF(OR(A106="",B106=""),"",COUNTIF(B$2:B106,B106))</f>
        <v/>
      </c>
    </row>
    <row r="107">
      <c r="A107" s="6" t="n"/>
      <c r="B107" s="6" t="n"/>
      <c r="C107" s="9">
        <f>IF(OR(A107="",B107=""),"",COUNTIF(B$2:B107,B107))</f>
        <v/>
      </c>
    </row>
    <row r="108">
      <c r="A108" s="6" t="n"/>
      <c r="B108" s="6" t="n"/>
      <c r="C108" s="9">
        <f>IF(OR(A108="",B108=""),"",COUNTIF(B$2:B108,B108))</f>
        <v/>
      </c>
    </row>
    <row r="109">
      <c r="A109" s="6" t="n"/>
      <c r="B109" s="6" t="n"/>
      <c r="C109" s="9">
        <f>IF(OR(A109="",B109=""),"",COUNTIF(B$2:B109,B109))</f>
        <v/>
      </c>
    </row>
    <row r="110">
      <c r="A110" s="6" t="n"/>
      <c r="B110" s="6" t="n"/>
      <c r="C110" s="9">
        <f>IF(OR(A110="",B110=""),"",COUNTIF(B$2:B110,B110))</f>
        <v/>
      </c>
    </row>
    <row r="111">
      <c r="A111" s="6" t="n"/>
      <c r="B111" s="6" t="n"/>
      <c r="C111" s="9">
        <f>IF(OR(A111="",B111=""),"",COUNTIF(B$2:B111,B111))</f>
        <v/>
      </c>
    </row>
    <row r="112">
      <c r="A112" s="6" t="n"/>
      <c r="B112" s="6" t="n"/>
      <c r="C112" s="9">
        <f>IF(OR(A112="",B112=""),"",COUNTIF(B$2:B112,B112))</f>
        <v/>
      </c>
    </row>
    <row r="113">
      <c r="A113" s="6" t="n"/>
      <c r="B113" s="6" t="n"/>
      <c r="C113" s="9">
        <f>IF(OR(A113="",B113=""),"",COUNTIF(B$2:B113,B113))</f>
        <v/>
      </c>
    </row>
    <row r="114">
      <c r="A114" s="6" t="n"/>
      <c r="B114" s="6" t="n"/>
      <c r="C114" s="9">
        <f>IF(OR(A114="",B114=""),"",COUNTIF(B$2:B114,B114))</f>
        <v/>
      </c>
    </row>
    <row r="115">
      <c r="A115" s="6" t="n"/>
      <c r="B115" s="6" t="n"/>
      <c r="C115" s="9">
        <f>IF(OR(A115="",B115=""),"",COUNTIF(B$2:B115,B115))</f>
        <v/>
      </c>
    </row>
    <row r="116">
      <c r="A116" s="6" t="n"/>
      <c r="B116" s="6" t="n"/>
      <c r="C116" s="9">
        <f>IF(OR(A116="",B116=""),"",COUNTIF(B$2:B116,B116))</f>
        <v/>
      </c>
    </row>
    <row r="117">
      <c r="A117" s="6" t="n"/>
      <c r="B117" s="6" t="n"/>
      <c r="C117" s="9">
        <f>IF(OR(A117="",B117=""),"",COUNTIF(B$2:B117,B117))</f>
        <v/>
      </c>
    </row>
    <row r="118">
      <c r="A118" s="6" t="n"/>
      <c r="B118" s="6" t="n"/>
      <c r="C118" s="9">
        <f>IF(OR(A118="",B118=""),"",COUNTIF(B$2:B118,B118))</f>
        <v/>
      </c>
    </row>
    <row r="119">
      <c r="A119" s="6" t="n"/>
      <c r="B119" s="6" t="n"/>
      <c r="C119" s="9">
        <f>IF(OR(A119="",B119=""),"",COUNTIF(B$2:B119,B119))</f>
        <v/>
      </c>
    </row>
    <row r="120">
      <c r="A120" s="6" t="n"/>
      <c r="B120" s="6" t="n"/>
      <c r="C120" s="9">
        <f>IF(OR(A120="",B120=""),"",COUNTIF(B$2:B120,B120))</f>
        <v/>
      </c>
    </row>
    <row r="121">
      <c r="A121" s="6" t="n"/>
      <c r="B121" s="6" t="n"/>
      <c r="C121" s="9">
        <f>IF(OR(A121="",B121=""),"",COUNTIF(B$2:B121,B121))</f>
        <v/>
      </c>
    </row>
    <row r="122">
      <c r="A122" s="6" t="n"/>
      <c r="B122" s="6" t="n"/>
      <c r="C122" s="9">
        <f>IF(OR(A122="",B122=""),"",COUNTIF(B$2:B122,B122))</f>
        <v/>
      </c>
    </row>
    <row r="123">
      <c r="A123" s="6" t="n"/>
      <c r="B123" s="6" t="n"/>
      <c r="C123" s="9">
        <f>IF(OR(A123="",B123=""),"",COUNTIF(B$2:B123,B123))</f>
        <v/>
      </c>
    </row>
    <row r="124">
      <c r="A124" s="6" t="n"/>
      <c r="B124" s="6" t="n"/>
      <c r="C124" s="9">
        <f>IF(OR(A124="",B124=""),"",COUNTIF(B$2:B124,B124))</f>
        <v/>
      </c>
    </row>
    <row r="125">
      <c r="A125" s="6" t="n"/>
      <c r="B125" s="6" t="n"/>
      <c r="C125" s="9">
        <f>IF(OR(A125="",B125=""),"",COUNTIF(B$2:B125,B125))</f>
        <v/>
      </c>
    </row>
    <row r="126">
      <c r="A126" s="6" t="n"/>
      <c r="B126" s="6" t="n"/>
      <c r="C126" s="9">
        <f>IF(OR(A126="",B126=""),"",COUNTIF(B$2:B126,B126))</f>
        <v/>
      </c>
    </row>
    <row r="127">
      <c r="A127" s="6" t="n"/>
      <c r="B127" s="6" t="n"/>
      <c r="C127" s="9">
        <f>IF(OR(A127="",B127=""),"",COUNTIF(B$2:B127,B127))</f>
        <v/>
      </c>
    </row>
    <row r="128">
      <c r="A128" s="6" t="n"/>
      <c r="B128" s="6" t="n"/>
      <c r="C128" s="9">
        <f>IF(OR(A128="",B128=""),"",COUNTIF(B$2:B128,B128))</f>
        <v/>
      </c>
    </row>
    <row r="129">
      <c r="A129" s="6" t="n"/>
      <c r="B129" s="6" t="n"/>
      <c r="C129" s="9">
        <f>IF(OR(A129="",B129=""),"",COUNTIF(B$2:B129,B129))</f>
        <v/>
      </c>
    </row>
    <row r="130">
      <c r="A130" s="6" t="n"/>
      <c r="B130" s="6" t="n"/>
      <c r="C130" s="9">
        <f>IF(OR(A130="",B130=""),"",COUNTIF(B$2:B130,B130))</f>
        <v/>
      </c>
    </row>
    <row r="131">
      <c r="A131" s="6" t="n"/>
      <c r="B131" s="6" t="n"/>
      <c r="C131" s="9">
        <f>IF(OR(A131="",B131=""),"",COUNTIF(B$2:B131,B131))</f>
        <v/>
      </c>
    </row>
    <row r="132">
      <c r="A132" s="6" t="n"/>
      <c r="B132" s="6" t="n"/>
      <c r="C132" s="9">
        <f>IF(OR(A132="",B132=""),"",COUNTIF(B$2:B132,B132))</f>
        <v/>
      </c>
    </row>
    <row r="133">
      <c r="A133" s="6" t="n"/>
      <c r="B133" s="6" t="n"/>
      <c r="C133" s="9">
        <f>IF(OR(A133="",B133=""),"",COUNTIF(B$2:B133,B133))</f>
        <v/>
      </c>
    </row>
    <row r="134">
      <c r="A134" s="6" t="n"/>
      <c r="B134" s="6" t="n"/>
      <c r="C134" s="9">
        <f>IF(OR(A134="",B134=""),"",COUNTIF(B$2:B134,B134))</f>
        <v/>
      </c>
    </row>
    <row r="135">
      <c r="A135" s="6" t="n"/>
      <c r="B135" s="6" t="n"/>
      <c r="C135" s="9">
        <f>IF(OR(A135="",B135=""),"",COUNTIF(B$2:B135,B135))</f>
        <v/>
      </c>
    </row>
    <row r="136">
      <c r="A136" s="6" t="n"/>
      <c r="B136" s="6" t="n"/>
      <c r="C136" s="9">
        <f>IF(OR(A136="",B136=""),"",COUNTIF(B$2:B136,B136))</f>
        <v/>
      </c>
    </row>
    <row r="137">
      <c r="A137" s="6" t="n"/>
      <c r="B137" s="6" t="n"/>
      <c r="C137" s="9">
        <f>IF(OR(A137="",B137=""),"",COUNTIF(B$2:B137,B137))</f>
        <v/>
      </c>
    </row>
    <row r="138">
      <c r="A138" s="6" t="n"/>
      <c r="B138" s="6" t="n"/>
      <c r="C138" s="9">
        <f>IF(OR(A138="",B138=""),"",COUNTIF(B$2:B138,B138))</f>
        <v/>
      </c>
    </row>
    <row r="139">
      <c r="A139" s="6" t="n"/>
      <c r="B139" s="6" t="n"/>
      <c r="C139" s="9">
        <f>IF(OR(A139="",B139=""),"",COUNTIF(B$2:B139,B139))</f>
        <v/>
      </c>
    </row>
    <row r="140">
      <c r="A140" s="6" t="n"/>
      <c r="B140" s="6" t="n"/>
      <c r="C140" s="9">
        <f>IF(OR(A140="",B140=""),"",COUNTIF(B$2:B140,B140))</f>
        <v/>
      </c>
    </row>
    <row r="141">
      <c r="A141" s="6" t="n"/>
      <c r="B141" s="6" t="n"/>
      <c r="C141" s="9">
        <f>IF(OR(A141="",B141=""),"",COUNTIF(B$2:B141,B141))</f>
        <v/>
      </c>
    </row>
    <row r="142">
      <c r="A142" s="6" t="n"/>
      <c r="B142" s="6" t="n"/>
      <c r="C142" s="9">
        <f>IF(OR(A142="",B142=""),"",COUNTIF(B$2:B142,B142))</f>
        <v/>
      </c>
    </row>
    <row r="143">
      <c r="A143" s="6" t="n"/>
      <c r="B143" s="6" t="n"/>
      <c r="C143" s="9">
        <f>IF(OR(A143="",B143=""),"",COUNTIF(B$2:B143,B143))</f>
        <v/>
      </c>
    </row>
    <row r="144">
      <c r="A144" s="6" t="n"/>
      <c r="B144" s="6" t="n"/>
      <c r="C144" s="9">
        <f>IF(OR(A144="",B144=""),"",COUNTIF(B$2:B144,B144))</f>
        <v/>
      </c>
    </row>
    <row r="145">
      <c r="A145" s="6" t="n"/>
      <c r="B145" s="6" t="n"/>
      <c r="C145" s="9">
        <f>IF(OR(A145="",B145=""),"",COUNTIF(B$2:B145,B145))</f>
        <v/>
      </c>
    </row>
    <row r="146">
      <c r="A146" s="6" t="n"/>
      <c r="B146" s="6" t="n"/>
      <c r="C146" s="9">
        <f>IF(OR(A146="",B146=""),"",COUNTIF(B$2:B146,B146))</f>
        <v/>
      </c>
    </row>
    <row r="147">
      <c r="A147" s="6" t="n"/>
      <c r="B147" s="6" t="n"/>
      <c r="C147" s="9">
        <f>IF(OR(A147="",B147=""),"",COUNTIF(B$2:B147,B147))</f>
        <v/>
      </c>
    </row>
    <row r="148">
      <c r="A148" s="6" t="n"/>
      <c r="B148" s="6" t="n"/>
      <c r="C148" s="9">
        <f>IF(OR(A148="",B148=""),"",COUNTIF(B$2:B148,B148))</f>
        <v/>
      </c>
    </row>
    <row r="149">
      <c r="A149" s="6" t="n"/>
      <c r="B149" s="6" t="n"/>
      <c r="C149" s="9">
        <f>IF(OR(A149="",B149=""),"",COUNTIF(B$2:B149,B149))</f>
        <v/>
      </c>
    </row>
    <row r="150">
      <c r="A150" s="6" t="n"/>
      <c r="B150" s="6" t="n"/>
      <c r="C150" s="9">
        <f>IF(OR(A150="",B150=""),"",COUNTIF(B$2:B150,B150))</f>
        <v/>
      </c>
    </row>
    <row r="151">
      <c r="A151" s="6" t="n"/>
      <c r="B151" s="6" t="n"/>
      <c r="C151" s="9">
        <f>IF(OR(A151="",B151=""),"",COUNTIF(B$2:B151,B151))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7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3" customWidth="1" min="4" max="4"/>
    <col width="22" customWidth="1" min="5" max="5"/>
    <col width="10" customWidth="1" min="6" max="6"/>
    <col width="14" customWidth="1" min="7" max="7"/>
  </cols>
  <sheetData>
    <row r="1" ht="24" customHeight="1">
      <c r="A1" s="10">
        <f>IF(Roster!A2="","",Roster!A2)</f>
        <v/>
      </c>
      <c r="E1" s="10">
        <f>IF(Roster!A3="","",Roster!A3)</f>
        <v/>
      </c>
    </row>
    <row r="2" ht="24" customHeight="1">
      <c r="A2" s="11">
        <f>IF(Roster!A2="","","Period "&amp;Roster!B2&amp;"   ·   Student number "&amp;Roster!C2)</f>
        <v/>
      </c>
      <c r="E2" s="11">
        <f>IF(Roster!A3="","","Period "&amp;Roster!B3&amp;"   ·   Student number "&amp;Roster!C3)</f>
        <v/>
      </c>
    </row>
    <row r="3" ht="18" customHeight="1">
      <c r="A3" s="12">
        <f>IF(Roster!A2="","","Open: "&amp;Settings!$B$1)</f>
        <v/>
      </c>
      <c r="E3" s="12">
        <f>IF(Roster!A3="","","Open: "&amp;Settings!$B$1)</f>
        <v/>
      </c>
    </row>
    <row r="4" ht="30" customHeight="1">
      <c r="A4" s="12">
        <f>IF(Roster!A2="","","Tap Sign in, type your period and number, then sign in with your school Google account.")</f>
        <v/>
      </c>
      <c r="E4" s="12">
        <f>IF(Roster!A3="","","Tap Sign in, type your period and number, then sign in with your school Google account.")</f>
        <v/>
      </c>
    </row>
    <row r="5" ht="10" customHeight="1">
      <c r="A5" s="13" t="n"/>
      <c r="B5" s="14" t="n"/>
      <c r="C5" s="14" t="n"/>
      <c r="E5" s="13" t="n"/>
      <c r="F5" s="14" t="n"/>
      <c r="G5" s="14" t="n"/>
    </row>
    <row r="6" ht="24" customHeight="1">
      <c r="A6" s="10">
        <f>IF(Roster!A4="","",Roster!A4)</f>
        <v/>
      </c>
      <c r="E6" s="10">
        <f>IF(Roster!A5="","",Roster!A5)</f>
        <v/>
      </c>
    </row>
    <row r="7" ht="24" customHeight="1">
      <c r="A7" s="11">
        <f>IF(Roster!A4="","","Period "&amp;Roster!B4&amp;"   ·   Student number "&amp;Roster!C4)</f>
        <v/>
      </c>
      <c r="E7" s="11">
        <f>IF(Roster!A5="","","Period "&amp;Roster!B5&amp;"   ·   Student number "&amp;Roster!C5)</f>
        <v/>
      </c>
    </row>
    <row r="8" ht="18" customHeight="1">
      <c r="A8" s="12">
        <f>IF(Roster!A4="","","Open: "&amp;Settings!$B$1)</f>
        <v/>
      </c>
      <c r="E8" s="12">
        <f>IF(Roster!A5="","","Open: "&amp;Settings!$B$1)</f>
        <v/>
      </c>
    </row>
    <row r="9" ht="30" customHeight="1">
      <c r="A9" s="12">
        <f>IF(Roster!A4="","","Tap Sign in, type your period and number, then sign in with your school Google account.")</f>
        <v/>
      </c>
      <c r="E9" s="12">
        <f>IF(Roster!A5="","","Tap Sign in, type your period and number, then sign in with your school Google account.")</f>
        <v/>
      </c>
    </row>
    <row r="10" ht="10" customHeight="1">
      <c r="A10" s="13" t="n"/>
      <c r="B10" s="14" t="n"/>
      <c r="C10" s="14" t="n"/>
      <c r="E10" s="13" t="n"/>
      <c r="F10" s="14" t="n"/>
      <c r="G10" s="14" t="n"/>
    </row>
    <row r="11" ht="24" customHeight="1">
      <c r="A11" s="10">
        <f>IF(Roster!A6="","",Roster!A6)</f>
        <v/>
      </c>
      <c r="E11" s="10">
        <f>IF(Roster!A7="","",Roster!A7)</f>
        <v/>
      </c>
    </row>
    <row r="12" ht="24" customHeight="1">
      <c r="A12" s="11">
        <f>IF(Roster!A6="","","Period "&amp;Roster!B6&amp;"   ·   Student number "&amp;Roster!C6)</f>
        <v/>
      </c>
      <c r="E12" s="11">
        <f>IF(Roster!A7="","","Period "&amp;Roster!B7&amp;"   ·   Student number "&amp;Roster!C7)</f>
        <v/>
      </c>
    </row>
    <row r="13" ht="18" customHeight="1">
      <c r="A13" s="12">
        <f>IF(Roster!A6="","","Open: "&amp;Settings!$B$1)</f>
        <v/>
      </c>
      <c r="E13" s="12">
        <f>IF(Roster!A7="","","Open: "&amp;Settings!$B$1)</f>
        <v/>
      </c>
    </row>
    <row r="14" ht="30" customHeight="1">
      <c r="A14" s="12">
        <f>IF(Roster!A6="","","Tap Sign in, type your period and number, then sign in with your school Google account.")</f>
        <v/>
      </c>
      <c r="E14" s="12">
        <f>IF(Roster!A7="","","Tap Sign in, type your period and number, then sign in with your school Google account.")</f>
        <v/>
      </c>
    </row>
    <row r="15" ht="10" customHeight="1">
      <c r="A15" s="13" t="n"/>
      <c r="B15" s="14" t="n"/>
      <c r="C15" s="14" t="n"/>
      <c r="E15" s="13" t="n"/>
      <c r="F15" s="14" t="n"/>
      <c r="G15" s="14" t="n"/>
    </row>
    <row r="16" ht="24" customHeight="1">
      <c r="A16" s="10">
        <f>IF(Roster!A8="","",Roster!A8)</f>
        <v/>
      </c>
      <c r="E16" s="10">
        <f>IF(Roster!A9="","",Roster!A9)</f>
        <v/>
      </c>
    </row>
    <row r="17" ht="24" customHeight="1">
      <c r="A17" s="11">
        <f>IF(Roster!A8="","","Period "&amp;Roster!B8&amp;"   ·   Student number "&amp;Roster!C8)</f>
        <v/>
      </c>
      <c r="E17" s="11">
        <f>IF(Roster!A9="","","Period "&amp;Roster!B9&amp;"   ·   Student number "&amp;Roster!C9)</f>
        <v/>
      </c>
    </row>
    <row r="18" ht="18" customHeight="1">
      <c r="A18" s="12">
        <f>IF(Roster!A8="","","Open: "&amp;Settings!$B$1)</f>
        <v/>
      </c>
      <c r="E18" s="12">
        <f>IF(Roster!A9="","","Open: "&amp;Settings!$B$1)</f>
        <v/>
      </c>
    </row>
    <row r="19" ht="30" customHeight="1">
      <c r="A19" s="12">
        <f>IF(Roster!A8="","","Tap Sign in, type your period and number, then sign in with your school Google account.")</f>
        <v/>
      </c>
      <c r="E19" s="12">
        <f>IF(Roster!A9="","","Tap Sign in, type your period and number, then sign in with your school Google account.")</f>
        <v/>
      </c>
    </row>
    <row r="20" ht="10" customHeight="1">
      <c r="A20" s="13" t="n"/>
      <c r="B20" s="14" t="n"/>
      <c r="C20" s="14" t="n"/>
      <c r="E20" s="13" t="n"/>
      <c r="F20" s="14" t="n"/>
      <c r="G20" s="14" t="n"/>
    </row>
    <row r="21" ht="24" customHeight="1">
      <c r="A21" s="10">
        <f>IF(Roster!A10="","",Roster!A10)</f>
        <v/>
      </c>
      <c r="E21" s="10">
        <f>IF(Roster!A11="","",Roster!A11)</f>
        <v/>
      </c>
    </row>
    <row r="22" ht="24" customHeight="1">
      <c r="A22" s="11">
        <f>IF(Roster!A10="","","Period "&amp;Roster!B10&amp;"   ·   Student number "&amp;Roster!C10)</f>
        <v/>
      </c>
      <c r="E22" s="11">
        <f>IF(Roster!A11="","","Period "&amp;Roster!B11&amp;"   ·   Student number "&amp;Roster!C11)</f>
        <v/>
      </c>
    </row>
    <row r="23" ht="18" customHeight="1">
      <c r="A23" s="12">
        <f>IF(Roster!A10="","","Open: "&amp;Settings!$B$1)</f>
        <v/>
      </c>
      <c r="E23" s="12">
        <f>IF(Roster!A11="","","Open: "&amp;Settings!$B$1)</f>
        <v/>
      </c>
    </row>
    <row r="24" ht="30" customHeight="1">
      <c r="A24" s="12">
        <f>IF(Roster!A10="","","Tap Sign in, type your period and number, then sign in with your school Google account.")</f>
        <v/>
      </c>
      <c r="E24" s="12">
        <f>IF(Roster!A11="","","Tap Sign in, type your period and number, then sign in with your school Google account.")</f>
        <v/>
      </c>
    </row>
    <row r="25" ht="10" customHeight="1">
      <c r="A25" s="13" t="n"/>
      <c r="B25" s="14" t="n"/>
      <c r="C25" s="14" t="n"/>
      <c r="E25" s="13" t="n"/>
      <c r="F25" s="14" t="n"/>
      <c r="G25" s="14" t="n"/>
    </row>
    <row r="26" ht="24" customHeight="1">
      <c r="A26" s="10">
        <f>IF(Roster!A12="","",Roster!A12)</f>
        <v/>
      </c>
      <c r="E26" s="10">
        <f>IF(Roster!A13="","",Roster!A13)</f>
        <v/>
      </c>
    </row>
    <row r="27" ht="24" customHeight="1">
      <c r="A27" s="11">
        <f>IF(Roster!A12="","","Period "&amp;Roster!B12&amp;"   ·   Student number "&amp;Roster!C12)</f>
        <v/>
      </c>
      <c r="E27" s="11">
        <f>IF(Roster!A13="","","Period "&amp;Roster!B13&amp;"   ·   Student number "&amp;Roster!C13)</f>
        <v/>
      </c>
    </row>
    <row r="28" ht="18" customHeight="1">
      <c r="A28" s="12">
        <f>IF(Roster!A12="","","Open: "&amp;Settings!$B$1)</f>
        <v/>
      </c>
      <c r="E28" s="12">
        <f>IF(Roster!A13="","","Open: "&amp;Settings!$B$1)</f>
        <v/>
      </c>
    </row>
    <row r="29" ht="30" customHeight="1">
      <c r="A29" s="12">
        <f>IF(Roster!A12="","","Tap Sign in, type your period and number, then sign in with your school Google account.")</f>
        <v/>
      </c>
      <c r="E29" s="12">
        <f>IF(Roster!A13="","","Tap Sign in, type your period and number, then sign in with your school Google account.")</f>
        <v/>
      </c>
    </row>
    <row r="30" ht="10" customHeight="1">
      <c r="A30" s="13" t="n"/>
      <c r="B30" s="14" t="n"/>
      <c r="C30" s="14" t="n"/>
      <c r="E30" s="13" t="n"/>
      <c r="F30" s="14" t="n"/>
      <c r="G30" s="14" t="n"/>
    </row>
    <row r="31" ht="24" customHeight="1">
      <c r="A31" s="10">
        <f>IF(Roster!A14="","",Roster!A14)</f>
        <v/>
      </c>
      <c r="E31" s="10">
        <f>IF(Roster!A15="","",Roster!A15)</f>
        <v/>
      </c>
    </row>
    <row r="32" ht="24" customHeight="1">
      <c r="A32" s="11">
        <f>IF(Roster!A14="","","Period "&amp;Roster!B14&amp;"   ·   Student number "&amp;Roster!C14)</f>
        <v/>
      </c>
      <c r="E32" s="11">
        <f>IF(Roster!A15="","","Period "&amp;Roster!B15&amp;"   ·   Student number "&amp;Roster!C15)</f>
        <v/>
      </c>
    </row>
    <row r="33" ht="18" customHeight="1">
      <c r="A33" s="12">
        <f>IF(Roster!A14="","","Open: "&amp;Settings!$B$1)</f>
        <v/>
      </c>
      <c r="E33" s="12">
        <f>IF(Roster!A15="","","Open: "&amp;Settings!$B$1)</f>
        <v/>
      </c>
    </row>
    <row r="34" ht="30" customHeight="1">
      <c r="A34" s="12">
        <f>IF(Roster!A14="","","Tap Sign in, type your period and number, then sign in with your school Google account.")</f>
        <v/>
      </c>
      <c r="E34" s="12">
        <f>IF(Roster!A15="","","Tap Sign in, type your period and number, then sign in with your school Google account.")</f>
        <v/>
      </c>
    </row>
    <row r="35" ht="10" customHeight="1">
      <c r="A35" s="13" t="n"/>
      <c r="B35" s="14" t="n"/>
      <c r="C35" s="14" t="n"/>
      <c r="E35" s="13" t="n"/>
      <c r="F35" s="14" t="n"/>
      <c r="G35" s="14" t="n"/>
    </row>
    <row r="36" ht="24" customHeight="1">
      <c r="A36" s="10">
        <f>IF(Roster!A16="","",Roster!A16)</f>
        <v/>
      </c>
      <c r="E36" s="10">
        <f>IF(Roster!A17="","",Roster!A17)</f>
        <v/>
      </c>
    </row>
    <row r="37" ht="24" customHeight="1">
      <c r="A37" s="11">
        <f>IF(Roster!A16="","","Period "&amp;Roster!B16&amp;"   ·   Student number "&amp;Roster!C16)</f>
        <v/>
      </c>
      <c r="E37" s="11">
        <f>IF(Roster!A17="","","Period "&amp;Roster!B17&amp;"   ·   Student number "&amp;Roster!C17)</f>
        <v/>
      </c>
    </row>
    <row r="38" ht="18" customHeight="1">
      <c r="A38" s="12">
        <f>IF(Roster!A16="","","Open: "&amp;Settings!$B$1)</f>
        <v/>
      </c>
      <c r="E38" s="12">
        <f>IF(Roster!A17="","","Open: "&amp;Settings!$B$1)</f>
        <v/>
      </c>
    </row>
    <row r="39" ht="30" customHeight="1">
      <c r="A39" s="12">
        <f>IF(Roster!A16="","","Tap Sign in, type your period and number, then sign in with your school Google account.")</f>
        <v/>
      </c>
      <c r="E39" s="12">
        <f>IF(Roster!A17="","","Tap Sign in, type your period and number, then sign in with your school Google account.")</f>
        <v/>
      </c>
    </row>
    <row r="40" ht="10" customHeight="1">
      <c r="A40" s="13" t="n"/>
      <c r="B40" s="14" t="n"/>
      <c r="C40" s="14" t="n"/>
      <c r="E40" s="13" t="n"/>
      <c r="F40" s="14" t="n"/>
      <c r="G40" s="14" t="n"/>
    </row>
    <row r="41" ht="24" customHeight="1">
      <c r="A41" s="10">
        <f>IF(Roster!A18="","",Roster!A18)</f>
        <v/>
      </c>
      <c r="E41" s="10">
        <f>IF(Roster!A19="","",Roster!A19)</f>
        <v/>
      </c>
    </row>
    <row r="42" ht="24" customHeight="1">
      <c r="A42" s="11">
        <f>IF(Roster!A18="","","Period "&amp;Roster!B18&amp;"   ·   Student number "&amp;Roster!C18)</f>
        <v/>
      </c>
      <c r="E42" s="11">
        <f>IF(Roster!A19="","","Period "&amp;Roster!B19&amp;"   ·   Student number "&amp;Roster!C19)</f>
        <v/>
      </c>
    </row>
    <row r="43" ht="18" customHeight="1">
      <c r="A43" s="12">
        <f>IF(Roster!A18="","","Open: "&amp;Settings!$B$1)</f>
        <v/>
      </c>
      <c r="E43" s="12">
        <f>IF(Roster!A19="","","Open: "&amp;Settings!$B$1)</f>
        <v/>
      </c>
    </row>
    <row r="44" ht="30" customHeight="1">
      <c r="A44" s="12">
        <f>IF(Roster!A18="","","Tap Sign in, type your period and number, then sign in with your school Google account.")</f>
        <v/>
      </c>
      <c r="E44" s="12">
        <f>IF(Roster!A19="","","Tap Sign in, type your period and number, then sign in with your school Google account.")</f>
        <v/>
      </c>
    </row>
    <row r="45" ht="10" customHeight="1">
      <c r="A45" s="13" t="n"/>
      <c r="B45" s="14" t="n"/>
      <c r="C45" s="14" t="n"/>
      <c r="E45" s="13" t="n"/>
      <c r="F45" s="14" t="n"/>
      <c r="G45" s="14" t="n"/>
    </row>
    <row r="46" ht="24" customHeight="1">
      <c r="A46" s="10">
        <f>IF(Roster!A20="","",Roster!A20)</f>
        <v/>
      </c>
      <c r="E46" s="10">
        <f>IF(Roster!A21="","",Roster!A21)</f>
        <v/>
      </c>
    </row>
    <row r="47" ht="24" customHeight="1">
      <c r="A47" s="11">
        <f>IF(Roster!A20="","","Period "&amp;Roster!B20&amp;"   ·   Student number "&amp;Roster!C20)</f>
        <v/>
      </c>
      <c r="E47" s="11">
        <f>IF(Roster!A21="","","Period "&amp;Roster!B21&amp;"   ·   Student number "&amp;Roster!C21)</f>
        <v/>
      </c>
    </row>
    <row r="48" ht="18" customHeight="1">
      <c r="A48" s="12">
        <f>IF(Roster!A20="","","Open: "&amp;Settings!$B$1)</f>
        <v/>
      </c>
      <c r="E48" s="12">
        <f>IF(Roster!A21="","","Open: "&amp;Settings!$B$1)</f>
        <v/>
      </c>
    </row>
    <row r="49" ht="30" customHeight="1">
      <c r="A49" s="12">
        <f>IF(Roster!A20="","","Tap Sign in, type your period and number, then sign in with your school Google account.")</f>
        <v/>
      </c>
      <c r="E49" s="12">
        <f>IF(Roster!A21="","","Tap Sign in, type your period and number, then sign in with your school Google account.")</f>
        <v/>
      </c>
    </row>
    <row r="50" ht="10" customHeight="1">
      <c r="A50" s="13" t="n"/>
      <c r="B50" s="14" t="n"/>
      <c r="C50" s="14" t="n"/>
      <c r="E50" s="13" t="n"/>
      <c r="F50" s="14" t="n"/>
      <c r="G50" s="14" t="n"/>
    </row>
    <row r="51" ht="24" customHeight="1">
      <c r="A51" s="10">
        <f>IF(Roster!A22="","",Roster!A22)</f>
        <v/>
      </c>
      <c r="E51" s="10">
        <f>IF(Roster!A23="","",Roster!A23)</f>
        <v/>
      </c>
    </row>
    <row r="52" ht="24" customHeight="1">
      <c r="A52" s="11">
        <f>IF(Roster!A22="","","Period "&amp;Roster!B22&amp;"   ·   Student number "&amp;Roster!C22)</f>
        <v/>
      </c>
      <c r="E52" s="11">
        <f>IF(Roster!A23="","","Period "&amp;Roster!B23&amp;"   ·   Student number "&amp;Roster!C23)</f>
        <v/>
      </c>
    </row>
    <row r="53" ht="18" customHeight="1">
      <c r="A53" s="12">
        <f>IF(Roster!A22="","","Open: "&amp;Settings!$B$1)</f>
        <v/>
      </c>
      <c r="E53" s="12">
        <f>IF(Roster!A23="","","Open: "&amp;Settings!$B$1)</f>
        <v/>
      </c>
    </row>
    <row r="54" ht="30" customHeight="1">
      <c r="A54" s="12">
        <f>IF(Roster!A22="","","Tap Sign in, type your period and number, then sign in with your school Google account.")</f>
        <v/>
      </c>
      <c r="E54" s="12">
        <f>IF(Roster!A23="","","Tap Sign in, type your period and number, then sign in with your school Google account.")</f>
        <v/>
      </c>
    </row>
    <row r="55" ht="10" customHeight="1">
      <c r="A55" s="13" t="n"/>
      <c r="B55" s="14" t="n"/>
      <c r="C55" s="14" t="n"/>
      <c r="E55" s="13" t="n"/>
      <c r="F55" s="14" t="n"/>
      <c r="G55" s="14" t="n"/>
    </row>
    <row r="56" ht="24" customHeight="1">
      <c r="A56" s="10">
        <f>IF(Roster!A24="","",Roster!A24)</f>
        <v/>
      </c>
      <c r="E56" s="10">
        <f>IF(Roster!A25="","",Roster!A25)</f>
        <v/>
      </c>
    </row>
    <row r="57" ht="24" customHeight="1">
      <c r="A57" s="11">
        <f>IF(Roster!A24="","","Period "&amp;Roster!B24&amp;"   ·   Student number "&amp;Roster!C24)</f>
        <v/>
      </c>
      <c r="E57" s="11">
        <f>IF(Roster!A25="","","Period "&amp;Roster!B25&amp;"   ·   Student number "&amp;Roster!C25)</f>
        <v/>
      </c>
    </row>
    <row r="58" ht="18" customHeight="1">
      <c r="A58" s="12">
        <f>IF(Roster!A24="","","Open: "&amp;Settings!$B$1)</f>
        <v/>
      </c>
      <c r="E58" s="12">
        <f>IF(Roster!A25="","","Open: "&amp;Settings!$B$1)</f>
        <v/>
      </c>
    </row>
    <row r="59" ht="30" customHeight="1">
      <c r="A59" s="12">
        <f>IF(Roster!A24="","","Tap Sign in, type your period and number, then sign in with your school Google account.")</f>
        <v/>
      </c>
      <c r="E59" s="12">
        <f>IF(Roster!A25="","","Tap Sign in, type your period and number, then sign in with your school Google account.")</f>
        <v/>
      </c>
    </row>
    <row r="60" ht="10" customHeight="1">
      <c r="A60" s="13" t="n"/>
      <c r="B60" s="14" t="n"/>
      <c r="C60" s="14" t="n"/>
      <c r="E60" s="13" t="n"/>
      <c r="F60" s="14" t="n"/>
      <c r="G60" s="14" t="n"/>
    </row>
    <row r="61" ht="24" customHeight="1">
      <c r="A61" s="10">
        <f>IF(Roster!A26="","",Roster!A26)</f>
        <v/>
      </c>
      <c r="E61" s="10">
        <f>IF(Roster!A27="","",Roster!A27)</f>
        <v/>
      </c>
    </row>
    <row r="62" ht="24" customHeight="1">
      <c r="A62" s="11">
        <f>IF(Roster!A26="","","Period "&amp;Roster!B26&amp;"   ·   Student number "&amp;Roster!C26)</f>
        <v/>
      </c>
      <c r="E62" s="11">
        <f>IF(Roster!A27="","","Period "&amp;Roster!B27&amp;"   ·   Student number "&amp;Roster!C27)</f>
        <v/>
      </c>
    </row>
    <row r="63" ht="18" customHeight="1">
      <c r="A63" s="12">
        <f>IF(Roster!A26="","","Open: "&amp;Settings!$B$1)</f>
        <v/>
      </c>
      <c r="E63" s="12">
        <f>IF(Roster!A27="","","Open: "&amp;Settings!$B$1)</f>
        <v/>
      </c>
    </row>
    <row r="64" ht="30" customHeight="1">
      <c r="A64" s="12">
        <f>IF(Roster!A26="","","Tap Sign in, type your period and number, then sign in with your school Google account.")</f>
        <v/>
      </c>
      <c r="E64" s="12">
        <f>IF(Roster!A27="","","Tap Sign in, type your period and number, then sign in with your school Google account.")</f>
        <v/>
      </c>
    </row>
    <row r="65" ht="10" customHeight="1">
      <c r="A65" s="13" t="n"/>
      <c r="B65" s="14" t="n"/>
      <c r="C65" s="14" t="n"/>
      <c r="E65" s="13" t="n"/>
      <c r="F65" s="14" t="n"/>
      <c r="G65" s="14" t="n"/>
    </row>
    <row r="66" ht="24" customHeight="1">
      <c r="A66" s="10">
        <f>IF(Roster!A28="","",Roster!A28)</f>
        <v/>
      </c>
      <c r="E66" s="10">
        <f>IF(Roster!A29="","",Roster!A29)</f>
        <v/>
      </c>
    </row>
    <row r="67" ht="24" customHeight="1">
      <c r="A67" s="11">
        <f>IF(Roster!A28="","","Period "&amp;Roster!B28&amp;"   ·   Student number "&amp;Roster!C28)</f>
        <v/>
      </c>
      <c r="E67" s="11">
        <f>IF(Roster!A29="","","Period "&amp;Roster!B29&amp;"   ·   Student number "&amp;Roster!C29)</f>
        <v/>
      </c>
    </row>
    <row r="68" ht="18" customHeight="1">
      <c r="A68" s="12">
        <f>IF(Roster!A28="","","Open: "&amp;Settings!$B$1)</f>
        <v/>
      </c>
      <c r="E68" s="12">
        <f>IF(Roster!A29="","","Open: "&amp;Settings!$B$1)</f>
        <v/>
      </c>
    </row>
    <row r="69" ht="30" customHeight="1">
      <c r="A69" s="12">
        <f>IF(Roster!A28="","","Tap Sign in, type your period and number, then sign in with your school Google account.")</f>
        <v/>
      </c>
      <c r="E69" s="12">
        <f>IF(Roster!A29="","","Tap Sign in, type your period and number, then sign in with your school Google account.")</f>
        <v/>
      </c>
    </row>
    <row r="70" ht="10" customHeight="1">
      <c r="A70" s="13" t="n"/>
      <c r="B70" s="14" t="n"/>
      <c r="C70" s="14" t="n"/>
      <c r="E70" s="13" t="n"/>
      <c r="F70" s="14" t="n"/>
      <c r="G70" s="14" t="n"/>
    </row>
    <row r="71" ht="24" customHeight="1">
      <c r="A71" s="10">
        <f>IF(Roster!A30="","",Roster!A30)</f>
        <v/>
      </c>
      <c r="E71" s="10">
        <f>IF(Roster!A31="","",Roster!A31)</f>
        <v/>
      </c>
    </row>
    <row r="72" ht="24" customHeight="1">
      <c r="A72" s="11">
        <f>IF(Roster!A30="","","Period "&amp;Roster!B30&amp;"   ·   Student number "&amp;Roster!C30)</f>
        <v/>
      </c>
      <c r="E72" s="11">
        <f>IF(Roster!A31="","","Period "&amp;Roster!B31&amp;"   ·   Student number "&amp;Roster!C31)</f>
        <v/>
      </c>
    </row>
    <row r="73" ht="18" customHeight="1">
      <c r="A73" s="12">
        <f>IF(Roster!A30="","","Open: "&amp;Settings!$B$1)</f>
        <v/>
      </c>
      <c r="E73" s="12">
        <f>IF(Roster!A31="","","Open: "&amp;Settings!$B$1)</f>
        <v/>
      </c>
    </row>
    <row r="74" ht="30" customHeight="1">
      <c r="A74" s="12">
        <f>IF(Roster!A30="","","Tap Sign in, type your period and number, then sign in with your school Google account.")</f>
        <v/>
      </c>
      <c r="E74" s="12">
        <f>IF(Roster!A31="","","Tap Sign in, type your period and number, then sign in with your school Google account.")</f>
        <v/>
      </c>
    </row>
    <row r="75" ht="10" customHeight="1">
      <c r="A75" s="13" t="n"/>
      <c r="B75" s="14" t="n"/>
      <c r="C75" s="14" t="n"/>
      <c r="E75" s="13" t="n"/>
      <c r="F75" s="14" t="n"/>
      <c r="G75" s="14" t="n"/>
    </row>
    <row r="76" ht="24" customHeight="1">
      <c r="A76" s="10">
        <f>IF(Roster!A32="","",Roster!A32)</f>
        <v/>
      </c>
      <c r="E76" s="10">
        <f>IF(Roster!A33="","",Roster!A33)</f>
        <v/>
      </c>
    </row>
    <row r="77" ht="24" customHeight="1">
      <c r="A77" s="11">
        <f>IF(Roster!A32="","","Period "&amp;Roster!B32&amp;"   ·   Student number "&amp;Roster!C32)</f>
        <v/>
      </c>
      <c r="E77" s="11">
        <f>IF(Roster!A33="","","Period "&amp;Roster!B33&amp;"   ·   Student number "&amp;Roster!C33)</f>
        <v/>
      </c>
    </row>
    <row r="78" ht="18" customHeight="1">
      <c r="A78" s="12">
        <f>IF(Roster!A32="","","Open: "&amp;Settings!$B$1)</f>
        <v/>
      </c>
      <c r="E78" s="12">
        <f>IF(Roster!A33="","","Open: "&amp;Settings!$B$1)</f>
        <v/>
      </c>
    </row>
    <row r="79" ht="30" customHeight="1">
      <c r="A79" s="12">
        <f>IF(Roster!A32="","","Tap Sign in, type your period and number, then sign in with your school Google account.")</f>
        <v/>
      </c>
      <c r="E79" s="12">
        <f>IF(Roster!A33="","","Tap Sign in, type your period and number, then sign in with your school Google account.")</f>
        <v/>
      </c>
    </row>
    <row r="80" ht="10" customHeight="1">
      <c r="A80" s="13" t="n"/>
      <c r="B80" s="14" t="n"/>
      <c r="C80" s="14" t="n"/>
      <c r="E80" s="13" t="n"/>
      <c r="F80" s="14" t="n"/>
      <c r="G80" s="14" t="n"/>
    </row>
    <row r="81" ht="24" customHeight="1">
      <c r="A81" s="10">
        <f>IF(Roster!A34="","",Roster!A34)</f>
        <v/>
      </c>
      <c r="E81" s="10">
        <f>IF(Roster!A35="","",Roster!A35)</f>
        <v/>
      </c>
    </row>
    <row r="82" ht="24" customHeight="1">
      <c r="A82" s="11">
        <f>IF(Roster!A34="","","Period "&amp;Roster!B34&amp;"   ·   Student number "&amp;Roster!C34)</f>
        <v/>
      </c>
      <c r="E82" s="11">
        <f>IF(Roster!A35="","","Period "&amp;Roster!B35&amp;"   ·   Student number "&amp;Roster!C35)</f>
        <v/>
      </c>
    </row>
    <row r="83" ht="18" customHeight="1">
      <c r="A83" s="12">
        <f>IF(Roster!A34="","","Open: "&amp;Settings!$B$1)</f>
        <v/>
      </c>
      <c r="E83" s="12">
        <f>IF(Roster!A35="","","Open: "&amp;Settings!$B$1)</f>
        <v/>
      </c>
    </row>
    <row r="84" ht="30" customHeight="1">
      <c r="A84" s="12">
        <f>IF(Roster!A34="","","Tap Sign in, type your period and number, then sign in with your school Google account.")</f>
        <v/>
      </c>
      <c r="E84" s="12">
        <f>IF(Roster!A35="","","Tap Sign in, type your period and number, then sign in with your school Google account.")</f>
        <v/>
      </c>
    </row>
    <row r="85" ht="10" customHeight="1">
      <c r="A85" s="13" t="n"/>
      <c r="B85" s="14" t="n"/>
      <c r="C85" s="14" t="n"/>
      <c r="E85" s="13" t="n"/>
      <c r="F85" s="14" t="n"/>
      <c r="G85" s="14" t="n"/>
    </row>
    <row r="86" ht="24" customHeight="1">
      <c r="A86" s="10">
        <f>IF(Roster!A36="","",Roster!A36)</f>
        <v/>
      </c>
      <c r="E86" s="10">
        <f>IF(Roster!A37="","",Roster!A37)</f>
        <v/>
      </c>
    </row>
    <row r="87" ht="24" customHeight="1">
      <c r="A87" s="11">
        <f>IF(Roster!A36="","","Period "&amp;Roster!B36&amp;"   ·   Student number "&amp;Roster!C36)</f>
        <v/>
      </c>
      <c r="E87" s="11">
        <f>IF(Roster!A37="","","Period "&amp;Roster!B37&amp;"   ·   Student number "&amp;Roster!C37)</f>
        <v/>
      </c>
    </row>
    <row r="88" ht="18" customHeight="1">
      <c r="A88" s="12">
        <f>IF(Roster!A36="","","Open: "&amp;Settings!$B$1)</f>
        <v/>
      </c>
      <c r="E88" s="12">
        <f>IF(Roster!A37="","","Open: "&amp;Settings!$B$1)</f>
        <v/>
      </c>
    </row>
    <row r="89" ht="30" customHeight="1">
      <c r="A89" s="12">
        <f>IF(Roster!A36="","","Tap Sign in, type your period and number, then sign in with your school Google account.")</f>
        <v/>
      </c>
      <c r="E89" s="12">
        <f>IF(Roster!A37="","","Tap Sign in, type your period and number, then sign in with your school Google account.")</f>
        <v/>
      </c>
    </row>
    <row r="90" ht="10" customHeight="1">
      <c r="A90" s="13" t="n"/>
      <c r="B90" s="14" t="n"/>
      <c r="C90" s="14" t="n"/>
      <c r="E90" s="13" t="n"/>
      <c r="F90" s="14" t="n"/>
      <c r="G90" s="14" t="n"/>
    </row>
    <row r="91" ht="24" customHeight="1">
      <c r="A91" s="10">
        <f>IF(Roster!A38="","",Roster!A38)</f>
        <v/>
      </c>
      <c r="E91" s="10">
        <f>IF(Roster!A39="","",Roster!A39)</f>
        <v/>
      </c>
    </row>
    <row r="92" ht="24" customHeight="1">
      <c r="A92" s="11">
        <f>IF(Roster!A38="","","Period "&amp;Roster!B38&amp;"   ·   Student number "&amp;Roster!C38)</f>
        <v/>
      </c>
      <c r="E92" s="11">
        <f>IF(Roster!A39="","","Period "&amp;Roster!B39&amp;"   ·   Student number "&amp;Roster!C39)</f>
        <v/>
      </c>
    </row>
    <row r="93" ht="18" customHeight="1">
      <c r="A93" s="12">
        <f>IF(Roster!A38="","","Open: "&amp;Settings!$B$1)</f>
        <v/>
      </c>
      <c r="E93" s="12">
        <f>IF(Roster!A39="","","Open: "&amp;Settings!$B$1)</f>
        <v/>
      </c>
    </row>
    <row r="94" ht="30" customHeight="1">
      <c r="A94" s="12">
        <f>IF(Roster!A38="","","Tap Sign in, type your period and number, then sign in with your school Google account.")</f>
        <v/>
      </c>
      <c r="E94" s="12">
        <f>IF(Roster!A39="","","Tap Sign in, type your period and number, then sign in with your school Google account.")</f>
        <v/>
      </c>
    </row>
    <row r="95" ht="10" customHeight="1">
      <c r="A95" s="13" t="n"/>
      <c r="B95" s="14" t="n"/>
      <c r="C95" s="14" t="n"/>
      <c r="E95" s="13" t="n"/>
      <c r="F95" s="14" t="n"/>
      <c r="G95" s="14" t="n"/>
    </row>
    <row r="96" ht="24" customHeight="1">
      <c r="A96" s="10">
        <f>IF(Roster!A40="","",Roster!A40)</f>
        <v/>
      </c>
      <c r="E96" s="10">
        <f>IF(Roster!A41="","",Roster!A41)</f>
        <v/>
      </c>
    </row>
    <row r="97" ht="24" customHeight="1">
      <c r="A97" s="11">
        <f>IF(Roster!A40="","","Period "&amp;Roster!B40&amp;"   ·   Student number "&amp;Roster!C40)</f>
        <v/>
      </c>
      <c r="E97" s="11">
        <f>IF(Roster!A41="","","Period "&amp;Roster!B41&amp;"   ·   Student number "&amp;Roster!C41)</f>
        <v/>
      </c>
    </row>
    <row r="98" ht="18" customHeight="1">
      <c r="A98" s="12">
        <f>IF(Roster!A40="","","Open: "&amp;Settings!$B$1)</f>
        <v/>
      </c>
      <c r="E98" s="12">
        <f>IF(Roster!A41="","","Open: "&amp;Settings!$B$1)</f>
        <v/>
      </c>
    </row>
    <row r="99" ht="30" customHeight="1">
      <c r="A99" s="12">
        <f>IF(Roster!A40="","","Tap Sign in, type your period and number, then sign in with your school Google account.")</f>
        <v/>
      </c>
      <c r="E99" s="12">
        <f>IF(Roster!A41="","","Tap Sign in, type your period and number, then sign in with your school Google account.")</f>
        <v/>
      </c>
    </row>
    <row r="100" ht="10" customHeight="1">
      <c r="A100" s="13" t="n"/>
      <c r="B100" s="14" t="n"/>
      <c r="C100" s="14" t="n"/>
      <c r="E100" s="13" t="n"/>
      <c r="F100" s="14" t="n"/>
      <c r="G100" s="14" t="n"/>
    </row>
    <row r="101" ht="24" customHeight="1">
      <c r="A101" s="10">
        <f>IF(Roster!A42="","",Roster!A42)</f>
        <v/>
      </c>
      <c r="E101" s="10">
        <f>IF(Roster!A43="","",Roster!A43)</f>
        <v/>
      </c>
    </row>
    <row r="102" ht="24" customHeight="1">
      <c r="A102" s="11">
        <f>IF(Roster!A42="","","Period "&amp;Roster!B42&amp;"   ·   Student number "&amp;Roster!C42)</f>
        <v/>
      </c>
      <c r="E102" s="11">
        <f>IF(Roster!A43="","","Period "&amp;Roster!B43&amp;"   ·   Student number "&amp;Roster!C43)</f>
        <v/>
      </c>
    </row>
    <row r="103" ht="18" customHeight="1">
      <c r="A103" s="12">
        <f>IF(Roster!A42="","","Open: "&amp;Settings!$B$1)</f>
        <v/>
      </c>
      <c r="E103" s="12">
        <f>IF(Roster!A43="","","Open: "&amp;Settings!$B$1)</f>
        <v/>
      </c>
    </row>
    <row r="104" ht="30" customHeight="1">
      <c r="A104" s="12">
        <f>IF(Roster!A42="","","Tap Sign in, type your period and number, then sign in with your school Google account.")</f>
        <v/>
      </c>
      <c r="E104" s="12">
        <f>IF(Roster!A43="","","Tap Sign in, type your period and number, then sign in with your school Google account.")</f>
        <v/>
      </c>
    </row>
    <row r="105" ht="10" customHeight="1">
      <c r="A105" s="13" t="n"/>
      <c r="B105" s="14" t="n"/>
      <c r="C105" s="14" t="n"/>
      <c r="E105" s="13" t="n"/>
      <c r="F105" s="14" t="n"/>
      <c r="G105" s="14" t="n"/>
    </row>
    <row r="106" ht="24" customHeight="1">
      <c r="A106" s="10">
        <f>IF(Roster!A44="","",Roster!A44)</f>
        <v/>
      </c>
      <c r="E106" s="10">
        <f>IF(Roster!A45="","",Roster!A45)</f>
        <v/>
      </c>
    </row>
    <row r="107" ht="24" customHeight="1">
      <c r="A107" s="11">
        <f>IF(Roster!A44="","","Period "&amp;Roster!B44&amp;"   ·   Student number "&amp;Roster!C44)</f>
        <v/>
      </c>
      <c r="E107" s="11">
        <f>IF(Roster!A45="","","Period "&amp;Roster!B45&amp;"   ·   Student number "&amp;Roster!C45)</f>
        <v/>
      </c>
    </row>
    <row r="108" ht="18" customHeight="1">
      <c r="A108" s="12">
        <f>IF(Roster!A44="","","Open: "&amp;Settings!$B$1)</f>
        <v/>
      </c>
      <c r="E108" s="12">
        <f>IF(Roster!A45="","","Open: "&amp;Settings!$B$1)</f>
        <v/>
      </c>
    </row>
    <row r="109" ht="30" customHeight="1">
      <c r="A109" s="12">
        <f>IF(Roster!A44="","","Tap Sign in, type your period and number, then sign in with your school Google account.")</f>
        <v/>
      </c>
      <c r="E109" s="12">
        <f>IF(Roster!A45="","","Tap Sign in, type your period and number, then sign in with your school Google account.")</f>
        <v/>
      </c>
    </row>
    <row r="110" ht="10" customHeight="1">
      <c r="A110" s="13" t="n"/>
      <c r="B110" s="14" t="n"/>
      <c r="C110" s="14" t="n"/>
      <c r="E110" s="13" t="n"/>
      <c r="F110" s="14" t="n"/>
      <c r="G110" s="14" t="n"/>
    </row>
    <row r="111" ht="24" customHeight="1">
      <c r="A111" s="10">
        <f>IF(Roster!A46="","",Roster!A46)</f>
        <v/>
      </c>
      <c r="E111" s="10">
        <f>IF(Roster!A47="","",Roster!A47)</f>
        <v/>
      </c>
    </row>
    <row r="112" ht="24" customHeight="1">
      <c r="A112" s="11">
        <f>IF(Roster!A46="","","Period "&amp;Roster!B46&amp;"   ·   Student number "&amp;Roster!C46)</f>
        <v/>
      </c>
      <c r="E112" s="11">
        <f>IF(Roster!A47="","","Period "&amp;Roster!B47&amp;"   ·   Student number "&amp;Roster!C47)</f>
        <v/>
      </c>
    </row>
    <row r="113" ht="18" customHeight="1">
      <c r="A113" s="12">
        <f>IF(Roster!A46="","","Open: "&amp;Settings!$B$1)</f>
        <v/>
      </c>
      <c r="E113" s="12">
        <f>IF(Roster!A47="","","Open: "&amp;Settings!$B$1)</f>
        <v/>
      </c>
    </row>
    <row r="114" ht="30" customHeight="1">
      <c r="A114" s="12">
        <f>IF(Roster!A46="","","Tap Sign in, type your period and number, then sign in with your school Google account.")</f>
        <v/>
      </c>
      <c r="E114" s="12">
        <f>IF(Roster!A47="","","Tap Sign in, type your period and number, then sign in with your school Google account.")</f>
        <v/>
      </c>
    </row>
    <row r="115" ht="10" customHeight="1">
      <c r="A115" s="13" t="n"/>
      <c r="B115" s="14" t="n"/>
      <c r="C115" s="14" t="n"/>
      <c r="E115" s="13" t="n"/>
      <c r="F115" s="14" t="n"/>
      <c r="G115" s="14" t="n"/>
    </row>
    <row r="116" ht="24" customHeight="1">
      <c r="A116" s="10">
        <f>IF(Roster!A48="","",Roster!A48)</f>
        <v/>
      </c>
      <c r="E116" s="10">
        <f>IF(Roster!A49="","",Roster!A49)</f>
        <v/>
      </c>
    </row>
    <row r="117" ht="24" customHeight="1">
      <c r="A117" s="11">
        <f>IF(Roster!A48="","","Period "&amp;Roster!B48&amp;"   ·   Student number "&amp;Roster!C48)</f>
        <v/>
      </c>
      <c r="E117" s="11">
        <f>IF(Roster!A49="","","Period "&amp;Roster!B49&amp;"   ·   Student number "&amp;Roster!C49)</f>
        <v/>
      </c>
    </row>
    <row r="118" ht="18" customHeight="1">
      <c r="A118" s="12">
        <f>IF(Roster!A48="","","Open: "&amp;Settings!$B$1)</f>
        <v/>
      </c>
      <c r="E118" s="12">
        <f>IF(Roster!A49="","","Open: "&amp;Settings!$B$1)</f>
        <v/>
      </c>
    </row>
    <row r="119" ht="30" customHeight="1">
      <c r="A119" s="12">
        <f>IF(Roster!A48="","","Tap Sign in, type your period and number, then sign in with your school Google account.")</f>
        <v/>
      </c>
      <c r="E119" s="12">
        <f>IF(Roster!A49="","","Tap Sign in, type your period and number, then sign in with your school Google account.")</f>
        <v/>
      </c>
    </row>
    <row r="120" ht="10" customHeight="1">
      <c r="A120" s="13" t="n"/>
      <c r="B120" s="14" t="n"/>
      <c r="C120" s="14" t="n"/>
      <c r="E120" s="13" t="n"/>
      <c r="F120" s="14" t="n"/>
      <c r="G120" s="14" t="n"/>
    </row>
    <row r="121" ht="24" customHeight="1">
      <c r="A121" s="10">
        <f>IF(Roster!A50="","",Roster!A50)</f>
        <v/>
      </c>
      <c r="E121" s="10">
        <f>IF(Roster!A51="","",Roster!A51)</f>
        <v/>
      </c>
    </row>
    <row r="122" ht="24" customHeight="1">
      <c r="A122" s="11">
        <f>IF(Roster!A50="","","Period "&amp;Roster!B50&amp;"   ·   Student number "&amp;Roster!C50)</f>
        <v/>
      </c>
      <c r="E122" s="11">
        <f>IF(Roster!A51="","","Period "&amp;Roster!B51&amp;"   ·   Student number "&amp;Roster!C51)</f>
        <v/>
      </c>
    </row>
    <row r="123" ht="18" customHeight="1">
      <c r="A123" s="12">
        <f>IF(Roster!A50="","","Open: "&amp;Settings!$B$1)</f>
        <v/>
      </c>
      <c r="E123" s="12">
        <f>IF(Roster!A51="","","Open: "&amp;Settings!$B$1)</f>
        <v/>
      </c>
    </row>
    <row r="124" ht="30" customHeight="1">
      <c r="A124" s="12">
        <f>IF(Roster!A50="","","Tap Sign in, type your period and number, then sign in with your school Google account.")</f>
        <v/>
      </c>
      <c r="E124" s="12">
        <f>IF(Roster!A51="","","Tap Sign in, type your period and number, then sign in with your school Google account.")</f>
        <v/>
      </c>
    </row>
    <row r="125" ht="10" customHeight="1">
      <c r="A125" s="13" t="n"/>
      <c r="B125" s="14" t="n"/>
      <c r="C125" s="14" t="n"/>
      <c r="E125" s="13" t="n"/>
      <c r="F125" s="14" t="n"/>
      <c r="G125" s="14" t="n"/>
    </row>
    <row r="126" ht="24" customHeight="1">
      <c r="A126" s="10">
        <f>IF(Roster!A52="","",Roster!A52)</f>
        <v/>
      </c>
      <c r="E126" s="10">
        <f>IF(Roster!A53="","",Roster!A53)</f>
        <v/>
      </c>
    </row>
    <row r="127" ht="24" customHeight="1">
      <c r="A127" s="11">
        <f>IF(Roster!A52="","","Period "&amp;Roster!B52&amp;"   ·   Student number "&amp;Roster!C52)</f>
        <v/>
      </c>
      <c r="E127" s="11">
        <f>IF(Roster!A53="","","Period "&amp;Roster!B53&amp;"   ·   Student number "&amp;Roster!C53)</f>
        <v/>
      </c>
    </row>
    <row r="128" ht="18" customHeight="1">
      <c r="A128" s="12">
        <f>IF(Roster!A52="","","Open: "&amp;Settings!$B$1)</f>
        <v/>
      </c>
      <c r="E128" s="12">
        <f>IF(Roster!A53="","","Open: "&amp;Settings!$B$1)</f>
        <v/>
      </c>
    </row>
    <row r="129" ht="30" customHeight="1">
      <c r="A129" s="12">
        <f>IF(Roster!A52="","","Tap Sign in, type your period and number, then sign in with your school Google account.")</f>
        <v/>
      </c>
      <c r="E129" s="12">
        <f>IF(Roster!A53="","","Tap Sign in, type your period and number, then sign in with your school Google account.")</f>
        <v/>
      </c>
    </row>
    <row r="130" ht="10" customHeight="1">
      <c r="A130" s="13" t="n"/>
      <c r="B130" s="14" t="n"/>
      <c r="C130" s="14" t="n"/>
      <c r="E130" s="13" t="n"/>
      <c r="F130" s="14" t="n"/>
      <c r="G130" s="14" t="n"/>
    </row>
    <row r="131" ht="24" customHeight="1">
      <c r="A131" s="10">
        <f>IF(Roster!A54="","",Roster!A54)</f>
        <v/>
      </c>
      <c r="E131" s="10">
        <f>IF(Roster!A55="","",Roster!A55)</f>
        <v/>
      </c>
    </row>
    <row r="132" ht="24" customHeight="1">
      <c r="A132" s="11">
        <f>IF(Roster!A54="","","Period "&amp;Roster!B54&amp;"   ·   Student number "&amp;Roster!C54)</f>
        <v/>
      </c>
      <c r="E132" s="11">
        <f>IF(Roster!A55="","","Period "&amp;Roster!B55&amp;"   ·   Student number "&amp;Roster!C55)</f>
        <v/>
      </c>
    </row>
    <row r="133" ht="18" customHeight="1">
      <c r="A133" s="12">
        <f>IF(Roster!A54="","","Open: "&amp;Settings!$B$1)</f>
        <v/>
      </c>
      <c r="E133" s="12">
        <f>IF(Roster!A55="","","Open: "&amp;Settings!$B$1)</f>
        <v/>
      </c>
    </row>
    <row r="134" ht="30" customHeight="1">
      <c r="A134" s="12">
        <f>IF(Roster!A54="","","Tap Sign in, type your period and number, then sign in with your school Google account.")</f>
        <v/>
      </c>
      <c r="E134" s="12">
        <f>IF(Roster!A55="","","Tap Sign in, type your period and number, then sign in with your school Google account.")</f>
        <v/>
      </c>
    </row>
    <row r="135" ht="10" customHeight="1">
      <c r="A135" s="13" t="n"/>
      <c r="B135" s="14" t="n"/>
      <c r="C135" s="14" t="n"/>
      <c r="E135" s="13" t="n"/>
      <c r="F135" s="14" t="n"/>
      <c r="G135" s="14" t="n"/>
    </row>
    <row r="136" ht="24" customHeight="1">
      <c r="A136" s="10">
        <f>IF(Roster!A56="","",Roster!A56)</f>
        <v/>
      </c>
      <c r="E136" s="10">
        <f>IF(Roster!A57="","",Roster!A57)</f>
        <v/>
      </c>
    </row>
    <row r="137" ht="24" customHeight="1">
      <c r="A137" s="11">
        <f>IF(Roster!A56="","","Period "&amp;Roster!B56&amp;"   ·   Student number "&amp;Roster!C56)</f>
        <v/>
      </c>
      <c r="E137" s="11">
        <f>IF(Roster!A57="","","Period "&amp;Roster!B57&amp;"   ·   Student number "&amp;Roster!C57)</f>
        <v/>
      </c>
    </row>
    <row r="138" ht="18" customHeight="1">
      <c r="A138" s="12">
        <f>IF(Roster!A56="","","Open: "&amp;Settings!$B$1)</f>
        <v/>
      </c>
      <c r="E138" s="12">
        <f>IF(Roster!A57="","","Open: "&amp;Settings!$B$1)</f>
        <v/>
      </c>
    </row>
    <row r="139" ht="30" customHeight="1">
      <c r="A139" s="12">
        <f>IF(Roster!A56="","","Tap Sign in, type your period and number, then sign in with your school Google account.")</f>
        <v/>
      </c>
      <c r="E139" s="12">
        <f>IF(Roster!A57="","","Tap Sign in, type your period and number, then sign in with your school Google account.")</f>
        <v/>
      </c>
    </row>
    <row r="140" ht="10" customHeight="1">
      <c r="A140" s="13" t="n"/>
      <c r="B140" s="14" t="n"/>
      <c r="C140" s="14" t="n"/>
      <c r="E140" s="13" t="n"/>
      <c r="F140" s="14" t="n"/>
      <c r="G140" s="14" t="n"/>
    </row>
    <row r="141" ht="24" customHeight="1">
      <c r="A141" s="10">
        <f>IF(Roster!A58="","",Roster!A58)</f>
        <v/>
      </c>
      <c r="E141" s="10">
        <f>IF(Roster!A59="","",Roster!A59)</f>
        <v/>
      </c>
    </row>
    <row r="142" ht="24" customHeight="1">
      <c r="A142" s="11">
        <f>IF(Roster!A58="","","Period "&amp;Roster!B58&amp;"   ·   Student number "&amp;Roster!C58)</f>
        <v/>
      </c>
      <c r="E142" s="11">
        <f>IF(Roster!A59="","","Period "&amp;Roster!B59&amp;"   ·   Student number "&amp;Roster!C59)</f>
        <v/>
      </c>
    </row>
    <row r="143" ht="18" customHeight="1">
      <c r="A143" s="12">
        <f>IF(Roster!A58="","","Open: "&amp;Settings!$B$1)</f>
        <v/>
      </c>
      <c r="E143" s="12">
        <f>IF(Roster!A59="","","Open: "&amp;Settings!$B$1)</f>
        <v/>
      </c>
    </row>
    <row r="144" ht="30" customHeight="1">
      <c r="A144" s="12">
        <f>IF(Roster!A58="","","Tap Sign in, type your period and number, then sign in with your school Google account.")</f>
        <v/>
      </c>
      <c r="E144" s="12">
        <f>IF(Roster!A59="","","Tap Sign in, type your period and number, then sign in with your school Google account.")</f>
        <v/>
      </c>
    </row>
    <row r="145" ht="10" customHeight="1">
      <c r="A145" s="13" t="n"/>
      <c r="B145" s="14" t="n"/>
      <c r="C145" s="14" t="n"/>
      <c r="E145" s="13" t="n"/>
      <c r="F145" s="14" t="n"/>
      <c r="G145" s="14" t="n"/>
    </row>
    <row r="146" ht="24" customHeight="1">
      <c r="A146" s="10">
        <f>IF(Roster!A60="","",Roster!A60)</f>
        <v/>
      </c>
      <c r="E146" s="10">
        <f>IF(Roster!A61="","",Roster!A61)</f>
        <v/>
      </c>
    </row>
    <row r="147" ht="24" customHeight="1">
      <c r="A147" s="11">
        <f>IF(Roster!A60="","","Period "&amp;Roster!B60&amp;"   ·   Student number "&amp;Roster!C60)</f>
        <v/>
      </c>
      <c r="E147" s="11">
        <f>IF(Roster!A61="","","Period "&amp;Roster!B61&amp;"   ·   Student number "&amp;Roster!C61)</f>
        <v/>
      </c>
    </row>
    <row r="148" ht="18" customHeight="1">
      <c r="A148" s="12">
        <f>IF(Roster!A60="","","Open: "&amp;Settings!$B$1)</f>
        <v/>
      </c>
      <c r="E148" s="12">
        <f>IF(Roster!A61="","","Open: "&amp;Settings!$B$1)</f>
        <v/>
      </c>
    </row>
    <row r="149" ht="30" customHeight="1">
      <c r="A149" s="12">
        <f>IF(Roster!A60="","","Tap Sign in, type your period and number, then sign in with your school Google account.")</f>
        <v/>
      </c>
      <c r="E149" s="12">
        <f>IF(Roster!A61="","","Tap Sign in, type your period and number, then sign in with your school Google account.")</f>
        <v/>
      </c>
    </row>
    <row r="150" ht="10" customHeight="1">
      <c r="A150" s="13" t="n"/>
      <c r="B150" s="14" t="n"/>
      <c r="C150" s="14" t="n"/>
      <c r="E150" s="13" t="n"/>
      <c r="F150" s="14" t="n"/>
      <c r="G150" s="14" t="n"/>
    </row>
    <row r="151" ht="24" customHeight="1">
      <c r="A151" s="10">
        <f>IF(Roster!A62="","",Roster!A62)</f>
        <v/>
      </c>
      <c r="E151" s="10">
        <f>IF(Roster!A63="","",Roster!A63)</f>
        <v/>
      </c>
    </row>
    <row r="152" ht="24" customHeight="1">
      <c r="A152" s="11">
        <f>IF(Roster!A62="","","Period "&amp;Roster!B62&amp;"   ·   Student number "&amp;Roster!C62)</f>
        <v/>
      </c>
      <c r="E152" s="11">
        <f>IF(Roster!A63="","","Period "&amp;Roster!B63&amp;"   ·   Student number "&amp;Roster!C63)</f>
        <v/>
      </c>
    </row>
    <row r="153" ht="18" customHeight="1">
      <c r="A153" s="12">
        <f>IF(Roster!A62="","","Open: "&amp;Settings!$B$1)</f>
        <v/>
      </c>
      <c r="E153" s="12">
        <f>IF(Roster!A63="","","Open: "&amp;Settings!$B$1)</f>
        <v/>
      </c>
    </row>
    <row r="154" ht="30" customHeight="1">
      <c r="A154" s="12">
        <f>IF(Roster!A62="","","Tap Sign in, type your period and number, then sign in with your school Google account.")</f>
        <v/>
      </c>
      <c r="E154" s="12">
        <f>IF(Roster!A63="","","Tap Sign in, type your period and number, then sign in with your school Google account.")</f>
        <v/>
      </c>
    </row>
    <row r="155" ht="10" customHeight="1">
      <c r="A155" s="13" t="n"/>
      <c r="B155" s="14" t="n"/>
      <c r="C155" s="14" t="n"/>
      <c r="E155" s="13" t="n"/>
      <c r="F155" s="14" t="n"/>
      <c r="G155" s="14" t="n"/>
    </row>
    <row r="156" ht="24" customHeight="1">
      <c r="A156" s="10">
        <f>IF(Roster!A64="","",Roster!A64)</f>
        <v/>
      </c>
      <c r="E156" s="10">
        <f>IF(Roster!A65="","",Roster!A65)</f>
        <v/>
      </c>
    </row>
    <row r="157" ht="24" customHeight="1">
      <c r="A157" s="11">
        <f>IF(Roster!A64="","","Period "&amp;Roster!B64&amp;"   ·   Student number "&amp;Roster!C64)</f>
        <v/>
      </c>
      <c r="E157" s="11">
        <f>IF(Roster!A65="","","Period "&amp;Roster!B65&amp;"   ·   Student number "&amp;Roster!C65)</f>
        <v/>
      </c>
    </row>
    <row r="158" ht="18" customHeight="1">
      <c r="A158" s="12">
        <f>IF(Roster!A64="","","Open: "&amp;Settings!$B$1)</f>
        <v/>
      </c>
      <c r="E158" s="12">
        <f>IF(Roster!A65="","","Open: "&amp;Settings!$B$1)</f>
        <v/>
      </c>
    </row>
    <row r="159" ht="30" customHeight="1">
      <c r="A159" s="12">
        <f>IF(Roster!A64="","","Tap Sign in, type your period and number, then sign in with your school Google account.")</f>
        <v/>
      </c>
      <c r="E159" s="12">
        <f>IF(Roster!A65="","","Tap Sign in, type your period and number, then sign in with your school Google account.")</f>
        <v/>
      </c>
    </row>
    <row r="160" ht="10" customHeight="1">
      <c r="A160" s="13" t="n"/>
      <c r="B160" s="14" t="n"/>
      <c r="C160" s="14" t="n"/>
      <c r="E160" s="13" t="n"/>
      <c r="F160" s="14" t="n"/>
      <c r="G160" s="14" t="n"/>
    </row>
    <row r="161" ht="24" customHeight="1">
      <c r="A161" s="10">
        <f>IF(Roster!A66="","",Roster!A66)</f>
        <v/>
      </c>
      <c r="E161" s="10">
        <f>IF(Roster!A67="","",Roster!A67)</f>
        <v/>
      </c>
    </row>
    <row r="162" ht="24" customHeight="1">
      <c r="A162" s="11">
        <f>IF(Roster!A66="","","Period "&amp;Roster!B66&amp;"   ·   Student number "&amp;Roster!C66)</f>
        <v/>
      </c>
      <c r="E162" s="11">
        <f>IF(Roster!A67="","","Period "&amp;Roster!B67&amp;"   ·   Student number "&amp;Roster!C67)</f>
        <v/>
      </c>
    </row>
    <row r="163" ht="18" customHeight="1">
      <c r="A163" s="12">
        <f>IF(Roster!A66="","","Open: "&amp;Settings!$B$1)</f>
        <v/>
      </c>
      <c r="E163" s="12">
        <f>IF(Roster!A67="","","Open: "&amp;Settings!$B$1)</f>
        <v/>
      </c>
    </row>
    <row r="164" ht="30" customHeight="1">
      <c r="A164" s="12">
        <f>IF(Roster!A66="","","Tap Sign in, type your period and number, then sign in with your school Google account.")</f>
        <v/>
      </c>
      <c r="E164" s="12">
        <f>IF(Roster!A67="","","Tap Sign in, type your period and number, then sign in with your school Google account.")</f>
        <v/>
      </c>
    </row>
    <row r="165" ht="10" customHeight="1">
      <c r="A165" s="13" t="n"/>
      <c r="B165" s="14" t="n"/>
      <c r="C165" s="14" t="n"/>
      <c r="E165" s="13" t="n"/>
      <c r="F165" s="14" t="n"/>
      <c r="G165" s="14" t="n"/>
    </row>
    <row r="166" ht="24" customHeight="1">
      <c r="A166" s="10">
        <f>IF(Roster!A68="","",Roster!A68)</f>
        <v/>
      </c>
      <c r="E166" s="10">
        <f>IF(Roster!A69="","",Roster!A69)</f>
        <v/>
      </c>
    </row>
    <row r="167" ht="24" customHeight="1">
      <c r="A167" s="11">
        <f>IF(Roster!A68="","","Period "&amp;Roster!B68&amp;"   ·   Student number "&amp;Roster!C68)</f>
        <v/>
      </c>
      <c r="E167" s="11">
        <f>IF(Roster!A69="","","Period "&amp;Roster!B69&amp;"   ·   Student number "&amp;Roster!C69)</f>
        <v/>
      </c>
    </row>
    <row r="168" ht="18" customHeight="1">
      <c r="A168" s="12">
        <f>IF(Roster!A68="","","Open: "&amp;Settings!$B$1)</f>
        <v/>
      </c>
      <c r="E168" s="12">
        <f>IF(Roster!A69="","","Open: "&amp;Settings!$B$1)</f>
        <v/>
      </c>
    </row>
    <row r="169" ht="30" customHeight="1">
      <c r="A169" s="12">
        <f>IF(Roster!A68="","","Tap Sign in, type your period and number, then sign in with your school Google account.")</f>
        <v/>
      </c>
      <c r="E169" s="12">
        <f>IF(Roster!A69="","","Tap Sign in, type your period and number, then sign in with your school Google account.")</f>
        <v/>
      </c>
    </row>
    <row r="170" ht="10" customHeight="1">
      <c r="A170" s="13" t="n"/>
      <c r="B170" s="14" t="n"/>
      <c r="C170" s="14" t="n"/>
      <c r="E170" s="13" t="n"/>
      <c r="F170" s="14" t="n"/>
      <c r="G170" s="14" t="n"/>
    </row>
    <row r="171" ht="24" customHeight="1">
      <c r="A171" s="10">
        <f>IF(Roster!A70="","",Roster!A70)</f>
        <v/>
      </c>
      <c r="E171" s="10">
        <f>IF(Roster!A71="","",Roster!A71)</f>
        <v/>
      </c>
    </row>
    <row r="172" ht="24" customHeight="1">
      <c r="A172" s="11">
        <f>IF(Roster!A70="","","Period "&amp;Roster!B70&amp;"   ·   Student number "&amp;Roster!C70)</f>
        <v/>
      </c>
      <c r="E172" s="11">
        <f>IF(Roster!A71="","","Period "&amp;Roster!B71&amp;"   ·   Student number "&amp;Roster!C71)</f>
        <v/>
      </c>
    </row>
    <row r="173" ht="18" customHeight="1">
      <c r="A173" s="12">
        <f>IF(Roster!A70="","","Open: "&amp;Settings!$B$1)</f>
        <v/>
      </c>
      <c r="E173" s="12">
        <f>IF(Roster!A71="","","Open: "&amp;Settings!$B$1)</f>
        <v/>
      </c>
    </row>
    <row r="174" ht="30" customHeight="1">
      <c r="A174" s="12">
        <f>IF(Roster!A70="","","Tap Sign in, type your period and number, then sign in with your school Google account.")</f>
        <v/>
      </c>
      <c r="E174" s="12">
        <f>IF(Roster!A71="","","Tap Sign in, type your period and number, then sign in with your school Google account.")</f>
        <v/>
      </c>
    </row>
    <row r="175" ht="10" customHeight="1">
      <c r="A175" s="13" t="n"/>
      <c r="B175" s="14" t="n"/>
      <c r="C175" s="14" t="n"/>
      <c r="E175" s="13" t="n"/>
      <c r="F175" s="14" t="n"/>
      <c r="G175" s="14" t="n"/>
    </row>
    <row r="176" ht="24" customHeight="1">
      <c r="A176" s="10">
        <f>IF(Roster!A72="","",Roster!A72)</f>
        <v/>
      </c>
      <c r="E176" s="10">
        <f>IF(Roster!A73="","",Roster!A73)</f>
        <v/>
      </c>
    </row>
    <row r="177" ht="24" customHeight="1">
      <c r="A177" s="11">
        <f>IF(Roster!A72="","","Period "&amp;Roster!B72&amp;"   ·   Student number "&amp;Roster!C72)</f>
        <v/>
      </c>
      <c r="E177" s="11">
        <f>IF(Roster!A73="","","Period "&amp;Roster!B73&amp;"   ·   Student number "&amp;Roster!C73)</f>
        <v/>
      </c>
    </row>
    <row r="178" ht="18" customHeight="1">
      <c r="A178" s="12">
        <f>IF(Roster!A72="","","Open: "&amp;Settings!$B$1)</f>
        <v/>
      </c>
      <c r="E178" s="12">
        <f>IF(Roster!A73="","","Open: "&amp;Settings!$B$1)</f>
        <v/>
      </c>
    </row>
    <row r="179" ht="30" customHeight="1">
      <c r="A179" s="12">
        <f>IF(Roster!A72="","","Tap Sign in, type your period and number, then sign in with your school Google account.")</f>
        <v/>
      </c>
      <c r="E179" s="12">
        <f>IF(Roster!A73="","","Tap Sign in, type your period and number, then sign in with your school Google account.")</f>
        <v/>
      </c>
    </row>
    <row r="180" ht="10" customHeight="1">
      <c r="A180" s="13" t="n"/>
      <c r="B180" s="14" t="n"/>
      <c r="C180" s="14" t="n"/>
      <c r="E180" s="13" t="n"/>
      <c r="F180" s="14" t="n"/>
      <c r="G180" s="14" t="n"/>
    </row>
    <row r="181" ht="24" customHeight="1">
      <c r="A181" s="10">
        <f>IF(Roster!A74="","",Roster!A74)</f>
        <v/>
      </c>
      <c r="E181" s="10">
        <f>IF(Roster!A75="","",Roster!A75)</f>
        <v/>
      </c>
    </row>
    <row r="182" ht="24" customHeight="1">
      <c r="A182" s="11">
        <f>IF(Roster!A74="","","Period "&amp;Roster!B74&amp;"   ·   Student number "&amp;Roster!C74)</f>
        <v/>
      </c>
      <c r="E182" s="11">
        <f>IF(Roster!A75="","","Period "&amp;Roster!B75&amp;"   ·   Student number "&amp;Roster!C75)</f>
        <v/>
      </c>
    </row>
    <row r="183" ht="18" customHeight="1">
      <c r="A183" s="12">
        <f>IF(Roster!A74="","","Open: "&amp;Settings!$B$1)</f>
        <v/>
      </c>
      <c r="E183" s="12">
        <f>IF(Roster!A75="","","Open: "&amp;Settings!$B$1)</f>
        <v/>
      </c>
    </row>
    <row r="184" ht="30" customHeight="1">
      <c r="A184" s="12">
        <f>IF(Roster!A74="","","Tap Sign in, type your period and number, then sign in with your school Google account.")</f>
        <v/>
      </c>
      <c r="E184" s="12">
        <f>IF(Roster!A75="","","Tap Sign in, type your period and number, then sign in with your school Google account.")</f>
        <v/>
      </c>
    </row>
    <row r="185" ht="10" customHeight="1">
      <c r="A185" s="13" t="n"/>
      <c r="B185" s="14" t="n"/>
      <c r="C185" s="14" t="n"/>
      <c r="E185" s="13" t="n"/>
      <c r="F185" s="14" t="n"/>
      <c r="G185" s="14" t="n"/>
    </row>
    <row r="186" ht="24" customHeight="1">
      <c r="A186" s="10">
        <f>IF(Roster!A76="","",Roster!A76)</f>
        <v/>
      </c>
      <c r="E186" s="10">
        <f>IF(Roster!A77="","",Roster!A77)</f>
        <v/>
      </c>
    </row>
    <row r="187" ht="24" customHeight="1">
      <c r="A187" s="11">
        <f>IF(Roster!A76="","","Period "&amp;Roster!B76&amp;"   ·   Student number "&amp;Roster!C76)</f>
        <v/>
      </c>
      <c r="E187" s="11">
        <f>IF(Roster!A77="","","Period "&amp;Roster!B77&amp;"   ·   Student number "&amp;Roster!C77)</f>
        <v/>
      </c>
    </row>
    <row r="188" ht="18" customHeight="1">
      <c r="A188" s="12">
        <f>IF(Roster!A76="","","Open: "&amp;Settings!$B$1)</f>
        <v/>
      </c>
      <c r="E188" s="12">
        <f>IF(Roster!A77="","","Open: "&amp;Settings!$B$1)</f>
        <v/>
      </c>
    </row>
    <row r="189" ht="30" customHeight="1">
      <c r="A189" s="12">
        <f>IF(Roster!A76="","","Tap Sign in, type your period and number, then sign in with your school Google account.")</f>
        <v/>
      </c>
      <c r="E189" s="12">
        <f>IF(Roster!A77="","","Tap Sign in, type your period and number, then sign in with your school Google account.")</f>
        <v/>
      </c>
    </row>
    <row r="190" ht="10" customHeight="1">
      <c r="A190" s="13" t="n"/>
      <c r="B190" s="14" t="n"/>
      <c r="C190" s="14" t="n"/>
      <c r="E190" s="13" t="n"/>
      <c r="F190" s="14" t="n"/>
      <c r="G190" s="14" t="n"/>
    </row>
    <row r="191" ht="24" customHeight="1">
      <c r="A191" s="10">
        <f>IF(Roster!A78="","",Roster!A78)</f>
        <v/>
      </c>
      <c r="E191" s="10">
        <f>IF(Roster!A79="","",Roster!A79)</f>
        <v/>
      </c>
    </row>
    <row r="192" ht="24" customHeight="1">
      <c r="A192" s="11">
        <f>IF(Roster!A78="","","Period "&amp;Roster!B78&amp;"   ·   Student number "&amp;Roster!C78)</f>
        <v/>
      </c>
      <c r="E192" s="11">
        <f>IF(Roster!A79="","","Period "&amp;Roster!B79&amp;"   ·   Student number "&amp;Roster!C79)</f>
        <v/>
      </c>
    </row>
    <row r="193" ht="18" customHeight="1">
      <c r="A193" s="12">
        <f>IF(Roster!A78="","","Open: "&amp;Settings!$B$1)</f>
        <v/>
      </c>
      <c r="E193" s="12">
        <f>IF(Roster!A79="","","Open: "&amp;Settings!$B$1)</f>
        <v/>
      </c>
    </row>
    <row r="194" ht="30" customHeight="1">
      <c r="A194" s="12">
        <f>IF(Roster!A78="","","Tap Sign in, type your period and number, then sign in with your school Google account.")</f>
        <v/>
      </c>
      <c r="E194" s="12">
        <f>IF(Roster!A79="","","Tap Sign in, type your period and number, then sign in with your school Google account.")</f>
        <v/>
      </c>
    </row>
    <row r="195" ht="10" customHeight="1">
      <c r="A195" s="13" t="n"/>
      <c r="B195" s="14" t="n"/>
      <c r="C195" s="14" t="n"/>
      <c r="E195" s="13" t="n"/>
      <c r="F195" s="14" t="n"/>
      <c r="G195" s="14" t="n"/>
    </row>
    <row r="196" ht="24" customHeight="1">
      <c r="A196" s="10">
        <f>IF(Roster!A80="","",Roster!A80)</f>
        <v/>
      </c>
      <c r="E196" s="10">
        <f>IF(Roster!A81="","",Roster!A81)</f>
        <v/>
      </c>
    </row>
    <row r="197" ht="24" customHeight="1">
      <c r="A197" s="11">
        <f>IF(Roster!A80="","","Period "&amp;Roster!B80&amp;"   ·   Student number "&amp;Roster!C80)</f>
        <v/>
      </c>
      <c r="E197" s="11">
        <f>IF(Roster!A81="","","Period "&amp;Roster!B81&amp;"   ·   Student number "&amp;Roster!C81)</f>
        <v/>
      </c>
    </row>
    <row r="198" ht="18" customHeight="1">
      <c r="A198" s="12">
        <f>IF(Roster!A80="","","Open: "&amp;Settings!$B$1)</f>
        <v/>
      </c>
      <c r="E198" s="12">
        <f>IF(Roster!A81="","","Open: "&amp;Settings!$B$1)</f>
        <v/>
      </c>
    </row>
    <row r="199" ht="30" customHeight="1">
      <c r="A199" s="12">
        <f>IF(Roster!A80="","","Tap Sign in, type your period and number, then sign in with your school Google account.")</f>
        <v/>
      </c>
      <c r="E199" s="12">
        <f>IF(Roster!A81="","","Tap Sign in, type your period and number, then sign in with your school Google account.")</f>
        <v/>
      </c>
    </row>
    <row r="200" ht="10" customHeight="1">
      <c r="A200" s="13" t="n"/>
      <c r="B200" s="14" t="n"/>
      <c r="C200" s="14" t="n"/>
      <c r="E200" s="13" t="n"/>
      <c r="F200" s="14" t="n"/>
      <c r="G200" s="14" t="n"/>
    </row>
    <row r="201" ht="24" customHeight="1">
      <c r="A201" s="10">
        <f>IF(Roster!A82="","",Roster!A82)</f>
        <v/>
      </c>
      <c r="E201" s="10">
        <f>IF(Roster!A83="","",Roster!A83)</f>
        <v/>
      </c>
    </row>
    <row r="202" ht="24" customHeight="1">
      <c r="A202" s="11">
        <f>IF(Roster!A82="","","Period "&amp;Roster!B82&amp;"   ·   Student number "&amp;Roster!C82)</f>
        <v/>
      </c>
      <c r="E202" s="11">
        <f>IF(Roster!A83="","","Period "&amp;Roster!B83&amp;"   ·   Student number "&amp;Roster!C83)</f>
        <v/>
      </c>
    </row>
    <row r="203" ht="18" customHeight="1">
      <c r="A203" s="12">
        <f>IF(Roster!A82="","","Open: "&amp;Settings!$B$1)</f>
        <v/>
      </c>
      <c r="E203" s="12">
        <f>IF(Roster!A83="","","Open: "&amp;Settings!$B$1)</f>
        <v/>
      </c>
    </row>
    <row r="204" ht="30" customHeight="1">
      <c r="A204" s="12">
        <f>IF(Roster!A82="","","Tap Sign in, type your period and number, then sign in with your school Google account.")</f>
        <v/>
      </c>
      <c r="E204" s="12">
        <f>IF(Roster!A83="","","Tap Sign in, type your period and number, then sign in with your school Google account.")</f>
        <v/>
      </c>
    </row>
    <row r="205" ht="10" customHeight="1">
      <c r="A205" s="13" t="n"/>
      <c r="B205" s="14" t="n"/>
      <c r="C205" s="14" t="n"/>
      <c r="E205" s="13" t="n"/>
      <c r="F205" s="14" t="n"/>
      <c r="G205" s="14" t="n"/>
    </row>
    <row r="206" ht="24" customHeight="1">
      <c r="A206" s="10">
        <f>IF(Roster!A84="","",Roster!A84)</f>
        <v/>
      </c>
      <c r="E206" s="10">
        <f>IF(Roster!A85="","",Roster!A85)</f>
        <v/>
      </c>
    </row>
    <row r="207" ht="24" customHeight="1">
      <c r="A207" s="11">
        <f>IF(Roster!A84="","","Period "&amp;Roster!B84&amp;"   ·   Student number "&amp;Roster!C84)</f>
        <v/>
      </c>
      <c r="E207" s="11">
        <f>IF(Roster!A85="","","Period "&amp;Roster!B85&amp;"   ·   Student number "&amp;Roster!C85)</f>
        <v/>
      </c>
    </row>
    <row r="208" ht="18" customHeight="1">
      <c r="A208" s="12">
        <f>IF(Roster!A84="","","Open: "&amp;Settings!$B$1)</f>
        <v/>
      </c>
      <c r="E208" s="12">
        <f>IF(Roster!A85="","","Open: "&amp;Settings!$B$1)</f>
        <v/>
      </c>
    </row>
    <row r="209" ht="30" customHeight="1">
      <c r="A209" s="12">
        <f>IF(Roster!A84="","","Tap Sign in, type your period and number, then sign in with your school Google account.")</f>
        <v/>
      </c>
      <c r="E209" s="12">
        <f>IF(Roster!A85="","","Tap Sign in, type your period and number, then sign in with your school Google account.")</f>
        <v/>
      </c>
    </row>
    <row r="210" ht="10" customHeight="1">
      <c r="A210" s="13" t="n"/>
      <c r="B210" s="14" t="n"/>
      <c r="C210" s="14" t="n"/>
      <c r="E210" s="13" t="n"/>
      <c r="F210" s="14" t="n"/>
      <c r="G210" s="14" t="n"/>
    </row>
    <row r="211" ht="24" customHeight="1">
      <c r="A211" s="10">
        <f>IF(Roster!A86="","",Roster!A86)</f>
        <v/>
      </c>
      <c r="E211" s="10">
        <f>IF(Roster!A87="","",Roster!A87)</f>
        <v/>
      </c>
    </row>
    <row r="212" ht="24" customHeight="1">
      <c r="A212" s="11">
        <f>IF(Roster!A86="","","Period "&amp;Roster!B86&amp;"   ·   Student number "&amp;Roster!C86)</f>
        <v/>
      </c>
      <c r="E212" s="11">
        <f>IF(Roster!A87="","","Period "&amp;Roster!B87&amp;"   ·   Student number "&amp;Roster!C87)</f>
        <v/>
      </c>
    </row>
    <row r="213" ht="18" customHeight="1">
      <c r="A213" s="12">
        <f>IF(Roster!A86="","","Open: "&amp;Settings!$B$1)</f>
        <v/>
      </c>
      <c r="E213" s="12">
        <f>IF(Roster!A87="","","Open: "&amp;Settings!$B$1)</f>
        <v/>
      </c>
    </row>
    <row r="214" ht="30" customHeight="1">
      <c r="A214" s="12">
        <f>IF(Roster!A86="","","Tap Sign in, type your period and number, then sign in with your school Google account.")</f>
        <v/>
      </c>
      <c r="E214" s="12">
        <f>IF(Roster!A87="","","Tap Sign in, type your period and number, then sign in with your school Google account.")</f>
        <v/>
      </c>
    </row>
    <row r="215" ht="10" customHeight="1">
      <c r="A215" s="13" t="n"/>
      <c r="B215" s="14" t="n"/>
      <c r="C215" s="14" t="n"/>
      <c r="E215" s="13" t="n"/>
      <c r="F215" s="14" t="n"/>
      <c r="G215" s="14" t="n"/>
    </row>
    <row r="216" ht="24" customHeight="1">
      <c r="A216" s="10">
        <f>IF(Roster!A88="","",Roster!A88)</f>
        <v/>
      </c>
      <c r="E216" s="10">
        <f>IF(Roster!A89="","",Roster!A89)</f>
        <v/>
      </c>
    </row>
    <row r="217" ht="24" customHeight="1">
      <c r="A217" s="11">
        <f>IF(Roster!A88="","","Period "&amp;Roster!B88&amp;"   ·   Student number "&amp;Roster!C88)</f>
        <v/>
      </c>
      <c r="E217" s="11">
        <f>IF(Roster!A89="","","Period "&amp;Roster!B89&amp;"   ·   Student number "&amp;Roster!C89)</f>
        <v/>
      </c>
    </row>
    <row r="218" ht="18" customHeight="1">
      <c r="A218" s="12">
        <f>IF(Roster!A88="","","Open: "&amp;Settings!$B$1)</f>
        <v/>
      </c>
      <c r="E218" s="12">
        <f>IF(Roster!A89="","","Open: "&amp;Settings!$B$1)</f>
        <v/>
      </c>
    </row>
    <row r="219" ht="30" customHeight="1">
      <c r="A219" s="12">
        <f>IF(Roster!A88="","","Tap Sign in, type your period and number, then sign in with your school Google account.")</f>
        <v/>
      </c>
      <c r="E219" s="12">
        <f>IF(Roster!A89="","","Tap Sign in, type your period and number, then sign in with your school Google account.")</f>
        <v/>
      </c>
    </row>
    <row r="220" ht="10" customHeight="1">
      <c r="A220" s="13" t="n"/>
      <c r="B220" s="14" t="n"/>
      <c r="C220" s="14" t="n"/>
      <c r="E220" s="13" t="n"/>
      <c r="F220" s="14" t="n"/>
      <c r="G220" s="14" t="n"/>
    </row>
    <row r="221" ht="24" customHeight="1">
      <c r="A221" s="10">
        <f>IF(Roster!A90="","",Roster!A90)</f>
        <v/>
      </c>
      <c r="E221" s="10">
        <f>IF(Roster!A91="","",Roster!A91)</f>
        <v/>
      </c>
    </row>
    <row r="222" ht="24" customHeight="1">
      <c r="A222" s="11">
        <f>IF(Roster!A90="","","Period "&amp;Roster!B90&amp;"   ·   Student number "&amp;Roster!C90)</f>
        <v/>
      </c>
      <c r="E222" s="11">
        <f>IF(Roster!A91="","","Period "&amp;Roster!B91&amp;"   ·   Student number "&amp;Roster!C91)</f>
        <v/>
      </c>
    </row>
    <row r="223" ht="18" customHeight="1">
      <c r="A223" s="12">
        <f>IF(Roster!A90="","","Open: "&amp;Settings!$B$1)</f>
        <v/>
      </c>
      <c r="E223" s="12">
        <f>IF(Roster!A91="","","Open: "&amp;Settings!$B$1)</f>
        <v/>
      </c>
    </row>
    <row r="224" ht="30" customHeight="1">
      <c r="A224" s="12">
        <f>IF(Roster!A90="","","Tap Sign in, type your period and number, then sign in with your school Google account.")</f>
        <v/>
      </c>
      <c r="E224" s="12">
        <f>IF(Roster!A91="","","Tap Sign in, type your period and number, then sign in with your school Google account.")</f>
        <v/>
      </c>
    </row>
    <row r="225" ht="10" customHeight="1">
      <c r="A225" s="13" t="n"/>
      <c r="B225" s="14" t="n"/>
      <c r="C225" s="14" t="n"/>
      <c r="E225" s="13" t="n"/>
      <c r="F225" s="14" t="n"/>
      <c r="G225" s="14" t="n"/>
    </row>
    <row r="226" ht="24" customHeight="1">
      <c r="A226" s="10">
        <f>IF(Roster!A92="","",Roster!A92)</f>
        <v/>
      </c>
      <c r="E226" s="10">
        <f>IF(Roster!A93="","",Roster!A93)</f>
        <v/>
      </c>
    </row>
    <row r="227" ht="24" customHeight="1">
      <c r="A227" s="11">
        <f>IF(Roster!A92="","","Period "&amp;Roster!B92&amp;"   ·   Student number "&amp;Roster!C92)</f>
        <v/>
      </c>
      <c r="E227" s="11">
        <f>IF(Roster!A93="","","Period "&amp;Roster!B93&amp;"   ·   Student number "&amp;Roster!C93)</f>
        <v/>
      </c>
    </row>
    <row r="228" ht="18" customHeight="1">
      <c r="A228" s="12">
        <f>IF(Roster!A92="","","Open: "&amp;Settings!$B$1)</f>
        <v/>
      </c>
      <c r="E228" s="12">
        <f>IF(Roster!A93="","","Open: "&amp;Settings!$B$1)</f>
        <v/>
      </c>
    </row>
    <row r="229" ht="30" customHeight="1">
      <c r="A229" s="12">
        <f>IF(Roster!A92="","","Tap Sign in, type your period and number, then sign in with your school Google account.")</f>
        <v/>
      </c>
      <c r="E229" s="12">
        <f>IF(Roster!A93="","","Tap Sign in, type your period and number, then sign in with your school Google account.")</f>
        <v/>
      </c>
    </row>
    <row r="230" ht="10" customHeight="1">
      <c r="A230" s="13" t="n"/>
      <c r="B230" s="14" t="n"/>
      <c r="C230" s="14" t="n"/>
      <c r="E230" s="13" t="n"/>
      <c r="F230" s="14" t="n"/>
      <c r="G230" s="14" t="n"/>
    </row>
    <row r="231" ht="24" customHeight="1">
      <c r="A231" s="10">
        <f>IF(Roster!A94="","",Roster!A94)</f>
        <v/>
      </c>
      <c r="E231" s="10">
        <f>IF(Roster!A95="","",Roster!A95)</f>
        <v/>
      </c>
    </row>
    <row r="232" ht="24" customHeight="1">
      <c r="A232" s="11">
        <f>IF(Roster!A94="","","Period "&amp;Roster!B94&amp;"   ·   Student number "&amp;Roster!C94)</f>
        <v/>
      </c>
      <c r="E232" s="11">
        <f>IF(Roster!A95="","","Period "&amp;Roster!B95&amp;"   ·   Student number "&amp;Roster!C95)</f>
        <v/>
      </c>
    </row>
    <row r="233" ht="18" customHeight="1">
      <c r="A233" s="12">
        <f>IF(Roster!A94="","","Open: "&amp;Settings!$B$1)</f>
        <v/>
      </c>
      <c r="E233" s="12">
        <f>IF(Roster!A95="","","Open: "&amp;Settings!$B$1)</f>
        <v/>
      </c>
    </row>
    <row r="234" ht="30" customHeight="1">
      <c r="A234" s="12">
        <f>IF(Roster!A94="","","Tap Sign in, type your period and number, then sign in with your school Google account.")</f>
        <v/>
      </c>
      <c r="E234" s="12">
        <f>IF(Roster!A95="","","Tap Sign in, type your period and number, then sign in with your school Google account.")</f>
        <v/>
      </c>
    </row>
    <row r="235" ht="10" customHeight="1">
      <c r="A235" s="13" t="n"/>
      <c r="B235" s="14" t="n"/>
      <c r="C235" s="14" t="n"/>
      <c r="E235" s="13" t="n"/>
      <c r="F235" s="14" t="n"/>
      <c r="G235" s="14" t="n"/>
    </row>
    <row r="236" ht="24" customHeight="1">
      <c r="A236" s="10">
        <f>IF(Roster!A96="","",Roster!A96)</f>
        <v/>
      </c>
      <c r="E236" s="10">
        <f>IF(Roster!A97="","",Roster!A97)</f>
        <v/>
      </c>
    </row>
    <row r="237" ht="24" customHeight="1">
      <c r="A237" s="11">
        <f>IF(Roster!A96="","","Period "&amp;Roster!B96&amp;"   ·   Student number "&amp;Roster!C96)</f>
        <v/>
      </c>
      <c r="E237" s="11">
        <f>IF(Roster!A97="","","Period "&amp;Roster!B97&amp;"   ·   Student number "&amp;Roster!C97)</f>
        <v/>
      </c>
    </row>
    <row r="238" ht="18" customHeight="1">
      <c r="A238" s="12">
        <f>IF(Roster!A96="","","Open: "&amp;Settings!$B$1)</f>
        <v/>
      </c>
      <c r="E238" s="12">
        <f>IF(Roster!A97="","","Open: "&amp;Settings!$B$1)</f>
        <v/>
      </c>
    </row>
    <row r="239" ht="30" customHeight="1">
      <c r="A239" s="12">
        <f>IF(Roster!A96="","","Tap Sign in, type your period and number, then sign in with your school Google account.")</f>
        <v/>
      </c>
      <c r="E239" s="12">
        <f>IF(Roster!A97="","","Tap Sign in, type your period and number, then sign in with your school Google account.")</f>
        <v/>
      </c>
    </row>
    <row r="240" ht="10" customHeight="1">
      <c r="A240" s="13" t="n"/>
      <c r="B240" s="14" t="n"/>
      <c r="C240" s="14" t="n"/>
      <c r="E240" s="13" t="n"/>
      <c r="F240" s="14" t="n"/>
      <c r="G240" s="14" t="n"/>
    </row>
    <row r="241" ht="24" customHeight="1">
      <c r="A241" s="10">
        <f>IF(Roster!A98="","",Roster!A98)</f>
        <v/>
      </c>
      <c r="E241" s="10">
        <f>IF(Roster!A99="","",Roster!A99)</f>
        <v/>
      </c>
    </row>
    <row r="242" ht="24" customHeight="1">
      <c r="A242" s="11">
        <f>IF(Roster!A98="","","Period "&amp;Roster!B98&amp;"   ·   Student number "&amp;Roster!C98)</f>
        <v/>
      </c>
      <c r="E242" s="11">
        <f>IF(Roster!A99="","","Period "&amp;Roster!B99&amp;"   ·   Student number "&amp;Roster!C99)</f>
        <v/>
      </c>
    </row>
    <row r="243" ht="18" customHeight="1">
      <c r="A243" s="12">
        <f>IF(Roster!A98="","","Open: "&amp;Settings!$B$1)</f>
        <v/>
      </c>
      <c r="E243" s="12">
        <f>IF(Roster!A99="","","Open: "&amp;Settings!$B$1)</f>
        <v/>
      </c>
    </row>
    <row r="244" ht="30" customHeight="1">
      <c r="A244" s="12">
        <f>IF(Roster!A98="","","Tap Sign in, type your period and number, then sign in with your school Google account.")</f>
        <v/>
      </c>
      <c r="E244" s="12">
        <f>IF(Roster!A99="","","Tap Sign in, type your period and number, then sign in with your school Google account.")</f>
        <v/>
      </c>
    </row>
    <row r="245" ht="10" customHeight="1">
      <c r="A245" s="13" t="n"/>
      <c r="B245" s="14" t="n"/>
      <c r="C245" s="14" t="n"/>
      <c r="E245" s="13" t="n"/>
      <c r="F245" s="14" t="n"/>
      <c r="G245" s="14" t="n"/>
    </row>
    <row r="246" ht="24" customHeight="1">
      <c r="A246" s="10">
        <f>IF(Roster!A100="","",Roster!A100)</f>
        <v/>
      </c>
      <c r="E246" s="10">
        <f>IF(Roster!A101="","",Roster!A101)</f>
        <v/>
      </c>
    </row>
    <row r="247" ht="24" customHeight="1">
      <c r="A247" s="11">
        <f>IF(Roster!A100="","","Period "&amp;Roster!B100&amp;"   ·   Student number "&amp;Roster!C100)</f>
        <v/>
      </c>
      <c r="E247" s="11">
        <f>IF(Roster!A101="","","Period "&amp;Roster!B101&amp;"   ·   Student number "&amp;Roster!C101)</f>
        <v/>
      </c>
    </row>
    <row r="248" ht="18" customHeight="1">
      <c r="A248" s="12">
        <f>IF(Roster!A100="","","Open: "&amp;Settings!$B$1)</f>
        <v/>
      </c>
      <c r="E248" s="12">
        <f>IF(Roster!A101="","","Open: "&amp;Settings!$B$1)</f>
        <v/>
      </c>
    </row>
    <row r="249" ht="30" customHeight="1">
      <c r="A249" s="12">
        <f>IF(Roster!A100="","","Tap Sign in, type your period and number, then sign in with your school Google account.")</f>
        <v/>
      </c>
      <c r="E249" s="12">
        <f>IF(Roster!A101="","","Tap Sign in, type your period and number, then sign in with your school Google account.")</f>
        <v/>
      </c>
    </row>
    <row r="250" ht="10" customHeight="1">
      <c r="A250" s="13" t="n"/>
      <c r="B250" s="14" t="n"/>
      <c r="C250" s="14" t="n"/>
      <c r="E250" s="13" t="n"/>
      <c r="F250" s="14" t="n"/>
      <c r="G250" s="14" t="n"/>
    </row>
    <row r="251" ht="24" customHeight="1">
      <c r="A251" s="10">
        <f>IF(Roster!A102="","",Roster!A102)</f>
        <v/>
      </c>
      <c r="E251" s="10">
        <f>IF(Roster!A103="","",Roster!A103)</f>
        <v/>
      </c>
    </row>
    <row r="252" ht="24" customHeight="1">
      <c r="A252" s="11">
        <f>IF(Roster!A102="","","Period "&amp;Roster!B102&amp;"   ·   Student number "&amp;Roster!C102)</f>
        <v/>
      </c>
      <c r="E252" s="11">
        <f>IF(Roster!A103="","","Period "&amp;Roster!B103&amp;"   ·   Student number "&amp;Roster!C103)</f>
        <v/>
      </c>
    </row>
    <row r="253" ht="18" customHeight="1">
      <c r="A253" s="12">
        <f>IF(Roster!A102="","","Open: "&amp;Settings!$B$1)</f>
        <v/>
      </c>
      <c r="E253" s="12">
        <f>IF(Roster!A103="","","Open: "&amp;Settings!$B$1)</f>
        <v/>
      </c>
    </row>
    <row r="254" ht="30" customHeight="1">
      <c r="A254" s="12">
        <f>IF(Roster!A102="","","Tap Sign in, type your period and number, then sign in with your school Google account.")</f>
        <v/>
      </c>
      <c r="E254" s="12">
        <f>IF(Roster!A103="","","Tap Sign in, type your period and number, then sign in with your school Google account.")</f>
        <v/>
      </c>
    </row>
    <row r="255" ht="10" customHeight="1">
      <c r="A255" s="13" t="n"/>
      <c r="B255" s="14" t="n"/>
      <c r="C255" s="14" t="n"/>
      <c r="E255" s="13" t="n"/>
      <c r="F255" s="14" t="n"/>
      <c r="G255" s="14" t="n"/>
    </row>
    <row r="256" ht="24" customHeight="1">
      <c r="A256" s="10">
        <f>IF(Roster!A104="","",Roster!A104)</f>
        <v/>
      </c>
      <c r="E256" s="10">
        <f>IF(Roster!A105="","",Roster!A105)</f>
        <v/>
      </c>
    </row>
    <row r="257" ht="24" customHeight="1">
      <c r="A257" s="11">
        <f>IF(Roster!A104="","","Period "&amp;Roster!B104&amp;"   ·   Student number "&amp;Roster!C104)</f>
        <v/>
      </c>
      <c r="E257" s="11">
        <f>IF(Roster!A105="","","Period "&amp;Roster!B105&amp;"   ·   Student number "&amp;Roster!C105)</f>
        <v/>
      </c>
    </row>
    <row r="258" ht="18" customHeight="1">
      <c r="A258" s="12">
        <f>IF(Roster!A104="","","Open: "&amp;Settings!$B$1)</f>
        <v/>
      </c>
      <c r="E258" s="12">
        <f>IF(Roster!A105="","","Open: "&amp;Settings!$B$1)</f>
        <v/>
      </c>
    </row>
    <row r="259" ht="30" customHeight="1">
      <c r="A259" s="12">
        <f>IF(Roster!A104="","","Tap Sign in, type your period and number, then sign in with your school Google account.")</f>
        <v/>
      </c>
      <c r="E259" s="12">
        <f>IF(Roster!A105="","","Tap Sign in, type your period and number, then sign in with your school Google account.")</f>
        <v/>
      </c>
    </row>
    <row r="260" ht="10" customHeight="1">
      <c r="A260" s="13" t="n"/>
      <c r="B260" s="14" t="n"/>
      <c r="C260" s="14" t="n"/>
      <c r="E260" s="13" t="n"/>
      <c r="F260" s="14" t="n"/>
      <c r="G260" s="14" t="n"/>
    </row>
    <row r="261" ht="24" customHeight="1">
      <c r="A261" s="10">
        <f>IF(Roster!A106="","",Roster!A106)</f>
        <v/>
      </c>
      <c r="E261" s="10">
        <f>IF(Roster!A107="","",Roster!A107)</f>
        <v/>
      </c>
    </row>
    <row r="262" ht="24" customHeight="1">
      <c r="A262" s="11">
        <f>IF(Roster!A106="","","Period "&amp;Roster!B106&amp;"   ·   Student number "&amp;Roster!C106)</f>
        <v/>
      </c>
      <c r="E262" s="11">
        <f>IF(Roster!A107="","","Period "&amp;Roster!B107&amp;"   ·   Student number "&amp;Roster!C107)</f>
        <v/>
      </c>
    </row>
    <row r="263" ht="18" customHeight="1">
      <c r="A263" s="12">
        <f>IF(Roster!A106="","","Open: "&amp;Settings!$B$1)</f>
        <v/>
      </c>
      <c r="E263" s="12">
        <f>IF(Roster!A107="","","Open: "&amp;Settings!$B$1)</f>
        <v/>
      </c>
    </row>
    <row r="264" ht="30" customHeight="1">
      <c r="A264" s="12">
        <f>IF(Roster!A106="","","Tap Sign in, type your period and number, then sign in with your school Google account.")</f>
        <v/>
      </c>
      <c r="E264" s="12">
        <f>IF(Roster!A107="","","Tap Sign in, type your period and number, then sign in with your school Google account.")</f>
        <v/>
      </c>
    </row>
    <row r="265" ht="10" customHeight="1">
      <c r="A265" s="13" t="n"/>
      <c r="B265" s="14" t="n"/>
      <c r="C265" s="14" t="n"/>
      <c r="E265" s="13" t="n"/>
      <c r="F265" s="14" t="n"/>
      <c r="G265" s="14" t="n"/>
    </row>
    <row r="266" ht="24" customHeight="1">
      <c r="A266" s="10">
        <f>IF(Roster!A108="","",Roster!A108)</f>
        <v/>
      </c>
      <c r="E266" s="10">
        <f>IF(Roster!A109="","",Roster!A109)</f>
        <v/>
      </c>
    </row>
    <row r="267" ht="24" customHeight="1">
      <c r="A267" s="11">
        <f>IF(Roster!A108="","","Period "&amp;Roster!B108&amp;"   ·   Student number "&amp;Roster!C108)</f>
        <v/>
      </c>
      <c r="E267" s="11">
        <f>IF(Roster!A109="","","Period "&amp;Roster!B109&amp;"   ·   Student number "&amp;Roster!C109)</f>
        <v/>
      </c>
    </row>
    <row r="268" ht="18" customHeight="1">
      <c r="A268" s="12">
        <f>IF(Roster!A108="","","Open: "&amp;Settings!$B$1)</f>
        <v/>
      </c>
      <c r="E268" s="12">
        <f>IF(Roster!A109="","","Open: "&amp;Settings!$B$1)</f>
        <v/>
      </c>
    </row>
    <row r="269" ht="30" customHeight="1">
      <c r="A269" s="12">
        <f>IF(Roster!A108="","","Tap Sign in, type your period and number, then sign in with your school Google account.")</f>
        <v/>
      </c>
      <c r="E269" s="12">
        <f>IF(Roster!A109="","","Tap Sign in, type your period and number, then sign in with your school Google account.")</f>
        <v/>
      </c>
    </row>
    <row r="270" ht="10" customHeight="1">
      <c r="A270" s="13" t="n"/>
      <c r="B270" s="14" t="n"/>
      <c r="C270" s="14" t="n"/>
      <c r="E270" s="13" t="n"/>
      <c r="F270" s="14" t="n"/>
      <c r="G270" s="14" t="n"/>
    </row>
    <row r="271" ht="24" customHeight="1">
      <c r="A271" s="10">
        <f>IF(Roster!A110="","",Roster!A110)</f>
        <v/>
      </c>
      <c r="E271" s="10">
        <f>IF(Roster!A111="","",Roster!A111)</f>
        <v/>
      </c>
    </row>
    <row r="272" ht="24" customHeight="1">
      <c r="A272" s="11">
        <f>IF(Roster!A110="","","Period "&amp;Roster!B110&amp;"   ·   Student number "&amp;Roster!C110)</f>
        <v/>
      </c>
      <c r="E272" s="11">
        <f>IF(Roster!A111="","","Period "&amp;Roster!B111&amp;"   ·   Student number "&amp;Roster!C111)</f>
        <v/>
      </c>
    </row>
    <row r="273" ht="18" customHeight="1">
      <c r="A273" s="12">
        <f>IF(Roster!A110="","","Open: "&amp;Settings!$B$1)</f>
        <v/>
      </c>
      <c r="E273" s="12">
        <f>IF(Roster!A111="","","Open: "&amp;Settings!$B$1)</f>
        <v/>
      </c>
    </row>
    <row r="274" ht="30" customHeight="1">
      <c r="A274" s="12">
        <f>IF(Roster!A110="","","Tap Sign in, type your period and number, then sign in with your school Google account.")</f>
        <v/>
      </c>
      <c r="E274" s="12">
        <f>IF(Roster!A111="","","Tap Sign in, type your period and number, then sign in with your school Google account.")</f>
        <v/>
      </c>
    </row>
    <row r="275" ht="10" customHeight="1">
      <c r="A275" s="13" t="n"/>
      <c r="B275" s="14" t="n"/>
      <c r="C275" s="14" t="n"/>
      <c r="E275" s="13" t="n"/>
      <c r="F275" s="14" t="n"/>
      <c r="G275" s="14" t="n"/>
    </row>
    <row r="276" ht="24" customHeight="1">
      <c r="A276" s="10">
        <f>IF(Roster!A112="","",Roster!A112)</f>
        <v/>
      </c>
      <c r="E276" s="10">
        <f>IF(Roster!A113="","",Roster!A113)</f>
        <v/>
      </c>
    </row>
    <row r="277" ht="24" customHeight="1">
      <c r="A277" s="11">
        <f>IF(Roster!A112="","","Period "&amp;Roster!B112&amp;"   ·   Student number "&amp;Roster!C112)</f>
        <v/>
      </c>
      <c r="E277" s="11">
        <f>IF(Roster!A113="","","Period "&amp;Roster!B113&amp;"   ·   Student number "&amp;Roster!C113)</f>
        <v/>
      </c>
    </row>
    <row r="278" ht="18" customHeight="1">
      <c r="A278" s="12">
        <f>IF(Roster!A112="","","Open: "&amp;Settings!$B$1)</f>
        <v/>
      </c>
      <c r="E278" s="12">
        <f>IF(Roster!A113="","","Open: "&amp;Settings!$B$1)</f>
        <v/>
      </c>
    </row>
    <row r="279" ht="30" customHeight="1">
      <c r="A279" s="12">
        <f>IF(Roster!A112="","","Tap Sign in, type your period and number, then sign in with your school Google account.")</f>
        <v/>
      </c>
      <c r="E279" s="12">
        <f>IF(Roster!A113="","","Tap Sign in, type your period and number, then sign in with your school Google account.")</f>
        <v/>
      </c>
    </row>
    <row r="280" ht="10" customHeight="1">
      <c r="A280" s="13" t="n"/>
      <c r="B280" s="14" t="n"/>
      <c r="C280" s="14" t="n"/>
      <c r="E280" s="13" t="n"/>
      <c r="F280" s="14" t="n"/>
      <c r="G280" s="14" t="n"/>
    </row>
    <row r="281" ht="24" customHeight="1">
      <c r="A281" s="10">
        <f>IF(Roster!A114="","",Roster!A114)</f>
        <v/>
      </c>
      <c r="E281" s="10">
        <f>IF(Roster!A115="","",Roster!A115)</f>
        <v/>
      </c>
    </row>
    <row r="282" ht="24" customHeight="1">
      <c r="A282" s="11">
        <f>IF(Roster!A114="","","Period "&amp;Roster!B114&amp;"   ·   Student number "&amp;Roster!C114)</f>
        <v/>
      </c>
      <c r="E282" s="11">
        <f>IF(Roster!A115="","","Period "&amp;Roster!B115&amp;"   ·   Student number "&amp;Roster!C115)</f>
        <v/>
      </c>
    </row>
    <row r="283" ht="18" customHeight="1">
      <c r="A283" s="12">
        <f>IF(Roster!A114="","","Open: "&amp;Settings!$B$1)</f>
        <v/>
      </c>
      <c r="E283" s="12">
        <f>IF(Roster!A115="","","Open: "&amp;Settings!$B$1)</f>
        <v/>
      </c>
    </row>
    <row r="284" ht="30" customHeight="1">
      <c r="A284" s="12">
        <f>IF(Roster!A114="","","Tap Sign in, type your period and number, then sign in with your school Google account.")</f>
        <v/>
      </c>
      <c r="E284" s="12">
        <f>IF(Roster!A115="","","Tap Sign in, type your period and number, then sign in with your school Google account.")</f>
        <v/>
      </c>
    </row>
    <row r="285" ht="10" customHeight="1">
      <c r="A285" s="13" t="n"/>
      <c r="B285" s="14" t="n"/>
      <c r="C285" s="14" t="n"/>
      <c r="E285" s="13" t="n"/>
      <c r="F285" s="14" t="n"/>
      <c r="G285" s="14" t="n"/>
    </row>
    <row r="286" ht="24" customHeight="1">
      <c r="A286" s="10">
        <f>IF(Roster!A116="","",Roster!A116)</f>
        <v/>
      </c>
      <c r="E286" s="10">
        <f>IF(Roster!A117="","",Roster!A117)</f>
        <v/>
      </c>
    </row>
    <row r="287" ht="24" customHeight="1">
      <c r="A287" s="11">
        <f>IF(Roster!A116="","","Period "&amp;Roster!B116&amp;"   ·   Student number "&amp;Roster!C116)</f>
        <v/>
      </c>
      <c r="E287" s="11">
        <f>IF(Roster!A117="","","Period "&amp;Roster!B117&amp;"   ·   Student number "&amp;Roster!C117)</f>
        <v/>
      </c>
    </row>
    <row r="288" ht="18" customHeight="1">
      <c r="A288" s="12">
        <f>IF(Roster!A116="","","Open: "&amp;Settings!$B$1)</f>
        <v/>
      </c>
      <c r="E288" s="12">
        <f>IF(Roster!A117="","","Open: "&amp;Settings!$B$1)</f>
        <v/>
      </c>
    </row>
    <row r="289" ht="30" customHeight="1">
      <c r="A289" s="12">
        <f>IF(Roster!A116="","","Tap Sign in, type your period and number, then sign in with your school Google account.")</f>
        <v/>
      </c>
      <c r="E289" s="12">
        <f>IF(Roster!A117="","","Tap Sign in, type your period and number, then sign in with your school Google account.")</f>
        <v/>
      </c>
    </row>
    <row r="290" ht="10" customHeight="1">
      <c r="A290" s="13" t="n"/>
      <c r="B290" s="14" t="n"/>
      <c r="C290" s="14" t="n"/>
      <c r="E290" s="13" t="n"/>
      <c r="F290" s="14" t="n"/>
      <c r="G290" s="14" t="n"/>
    </row>
    <row r="291" ht="24" customHeight="1">
      <c r="A291" s="10">
        <f>IF(Roster!A118="","",Roster!A118)</f>
        <v/>
      </c>
      <c r="E291" s="10">
        <f>IF(Roster!A119="","",Roster!A119)</f>
        <v/>
      </c>
    </row>
    <row r="292" ht="24" customHeight="1">
      <c r="A292" s="11">
        <f>IF(Roster!A118="","","Period "&amp;Roster!B118&amp;"   ·   Student number "&amp;Roster!C118)</f>
        <v/>
      </c>
      <c r="E292" s="11">
        <f>IF(Roster!A119="","","Period "&amp;Roster!B119&amp;"   ·   Student number "&amp;Roster!C119)</f>
        <v/>
      </c>
    </row>
    <row r="293" ht="18" customHeight="1">
      <c r="A293" s="12">
        <f>IF(Roster!A118="","","Open: "&amp;Settings!$B$1)</f>
        <v/>
      </c>
      <c r="E293" s="12">
        <f>IF(Roster!A119="","","Open: "&amp;Settings!$B$1)</f>
        <v/>
      </c>
    </row>
    <row r="294" ht="30" customHeight="1">
      <c r="A294" s="12">
        <f>IF(Roster!A118="","","Tap Sign in, type your period and number, then sign in with your school Google account.")</f>
        <v/>
      </c>
      <c r="E294" s="12">
        <f>IF(Roster!A119="","","Tap Sign in, type your period and number, then sign in with your school Google account.")</f>
        <v/>
      </c>
    </row>
    <row r="295" ht="10" customHeight="1">
      <c r="A295" s="13" t="n"/>
      <c r="B295" s="14" t="n"/>
      <c r="C295" s="14" t="n"/>
      <c r="E295" s="13" t="n"/>
      <c r="F295" s="14" t="n"/>
      <c r="G295" s="14" t="n"/>
    </row>
    <row r="296" ht="24" customHeight="1">
      <c r="A296" s="10">
        <f>IF(Roster!A120="","",Roster!A120)</f>
        <v/>
      </c>
      <c r="E296" s="10">
        <f>IF(Roster!A121="","",Roster!A121)</f>
        <v/>
      </c>
    </row>
    <row r="297" ht="24" customHeight="1">
      <c r="A297" s="11">
        <f>IF(Roster!A120="","","Period "&amp;Roster!B120&amp;"   ·   Student number "&amp;Roster!C120)</f>
        <v/>
      </c>
      <c r="E297" s="11">
        <f>IF(Roster!A121="","","Period "&amp;Roster!B121&amp;"   ·   Student number "&amp;Roster!C121)</f>
        <v/>
      </c>
    </row>
    <row r="298" ht="18" customHeight="1">
      <c r="A298" s="12">
        <f>IF(Roster!A120="","","Open: "&amp;Settings!$B$1)</f>
        <v/>
      </c>
      <c r="E298" s="12">
        <f>IF(Roster!A121="","","Open: "&amp;Settings!$B$1)</f>
        <v/>
      </c>
    </row>
    <row r="299" ht="30" customHeight="1">
      <c r="A299" s="12">
        <f>IF(Roster!A120="","","Tap Sign in, type your period and number, then sign in with your school Google account.")</f>
        <v/>
      </c>
      <c r="E299" s="12">
        <f>IF(Roster!A121="","","Tap Sign in, type your period and number, then sign in with your school Google account.")</f>
        <v/>
      </c>
    </row>
    <row r="300" ht="10" customHeight="1">
      <c r="A300" s="13" t="n"/>
      <c r="B300" s="14" t="n"/>
      <c r="C300" s="14" t="n"/>
      <c r="E300" s="13" t="n"/>
      <c r="F300" s="14" t="n"/>
      <c r="G300" s="14" t="n"/>
    </row>
    <row r="301" ht="24" customHeight="1">
      <c r="A301" s="10">
        <f>IF(Roster!A122="","",Roster!A122)</f>
        <v/>
      </c>
      <c r="E301" s="10">
        <f>IF(Roster!A123="","",Roster!A123)</f>
        <v/>
      </c>
    </row>
    <row r="302" ht="24" customHeight="1">
      <c r="A302" s="11">
        <f>IF(Roster!A122="","","Period "&amp;Roster!B122&amp;"   ·   Student number "&amp;Roster!C122)</f>
        <v/>
      </c>
      <c r="E302" s="11">
        <f>IF(Roster!A123="","","Period "&amp;Roster!B123&amp;"   ·   Student number "&amp;Roster!C123)</f>
        <v/>
      </c>
    </row>
    <row r="303" ht="18" customHeight="1">
      <c r="A303" s="12">
        <f>IF(Roster!A122="","","Open: "&amp;Settings!$B$1)</f>
        <v/>
      </c>
      <c r="E303" s="12">
        <f>IF(Roster!A123="","","Open: "&amp;Settings!$B$1)</f>
        <v/>
      </c>
    </row>
    <row r="304" ht="30" customHeight="1">
      <c r="A304" s="12">
        <f>IF(Roster!A122="","","Tap Sign in, type your period and number, then sign in with your school Google account.")</f>
        <v/>
      </c>
      <c r="E304" s="12">
        <f>IF(Roster!A123="","","Tap Sign in, type your period and number, then sign in with your school Google account.")</f>
        <v/>
      </c>
    </row>
    <row r="305" ht="10" customHeight="1">
      <c r="A305" s="13" t="n"/>
      <c r="B305" s="14" t="n"/>
      <c r="C305" s="14" t="n"/>
      <c r="E305" s="13" t="n"/>
      <c r="F305" s="14" t="n"/>
      <c r="G305" s="14" t="n"/>
    </row>
    <row r="306" ht="24" customHeight="1">
      <c r="A306" s="10">
        <f>IF(Roster!A124="","",Roster!A124)</f>
        <v/>
      </c>
      <c r="E306" s="10">
        <f>IF(Roster!A125="","",Roster!A125)</f>
        <v/>
      </c>
    </row>
    <row r="307" ht="24" customHeight="1">
      <c r="A307" s="11">
        <f>IF(Roster!A124="","","Period "&amp;Roster!B124&amp;"   ·   Student number "&amp;Roster!C124)</f>
        <v/>
      </c>
      <c r="E307" s="11">
        <f>IF(Roster!A125="","","Period "&amp;Roster!B125&amp;"   ·   Student number "&amp;Roster!C125)</f>
        <v/>
      </c>
    </row>
    <row r="308" ht="18" customHeight="1">
      <c r="A308" s="12">
        <f>IF(Roster!A124="","","Open: "&amp;Settings!$B$1)</f>
        <v/>
      </c>
      <c r="E308" s="12">
        <f>IF(Roster!A125="","","Open: "&amp;Settings!$B$1)</f>
        <v/>
      </c>
    </row>
    <row r="309" ht="30" customHeight="1">
      <c r="A309" s="12">
        <f>IF(Roster!A124="","","Tap Sign in, type your period and number, then sign in with your school Google account.")</f>
        <v/>
      </c>
      <c r="E309" s="12">
        <f>IF(Roster!A125="","","Tap Sign in, type your period and number, then sign in with your school Google account.")</f>
        <v/>
      </c>
    </row>
    <row r="310" ht="10" customHeight="1">
      <c r="A310" s="13" t="n"/>
      <c r="B310" s="14" t="n"/>
      <c r="C310" s="14" t="n"/>
      <c r="E310" s="13" t="n"/>
      <c r="F310" s="14" t="n"/>
      <c r="G310" s="14" t="n"/>
    </row>
    <row r="311" ht="24" customHeight="1">
      <c r="A311" s="10">
        <f>IF(Roster!A126="","",Roster!A126)</f>
        <v/>
      </c>
      <c r="E311" s="10">
        <f>IF(Roster!A127="","",Roster!A127)</f>
        <v/>
      </c>
    </row>
    <row r="312" ht="24" customHeight="1">
      <c r="A312" s="11">
        <f>IF(Roster!A126="","","Period "&amp;Roster!B126&amp;"   ·   Student number "&amp;Roster!C126)</f>
        <v/>
      </c>
      <c r="E312" s="11">
        <f>IF(Roster!A127="","","Period "&amp;Roster!B127&amp;"   ·   Student number "&amp;Roster!C127)</f>
        <v/>
      </c>
    </row>
    <row r="313" ht="18" customHeight="1">
      <c r="A313" s="12">
        <f>IF(Roster!A126="","","Open: "&amp;Settings!$B$1)</f>
        <v/>
      </c>
      <c r="E313" s="12">
        <f>IF(Roster!A127="","","Open: "&amp;Settings!$B$1)</f>
        <v/>
      </c>
    </row>
    <row r="314" ht="30" customHeight="1">
      <c r="A314" s="12">
        <f>IF(Roster!A126="","","Tap Sign in, type your period and number, then sign in with your school Google account.")</f>
        <v/>
      </c>
      <c r="E314" s="12">
        <f>IF(Roster!A127="","","Tap Sign in, type your period and number, then sign in with your school Google account.")</f>
        <v/>
      </c>
    </row>
    <row r="315" ht="10" customHeight="1">
      <c r="A315" s="13" t="n"/>
      <c r="B315" s="14" t="n"/>
      <c r="C315" s="14" t="n"/>
      <c r="E315" s="13" t="n"/>
      <c r="F315" s="14" t="n"/>
      <c r="G315" s="14" t="n"/>
    </row>
    <row r="316" ht="24" customHeight="1">
      <c r="A316" s="10">
        <f>IF(Roster!A128="","",Roster!A128)</f>
        <v/>
      </c>
      <c r="E316" s="10">
        <f>IF(Roster!A129="","",Roster!A129)</f>
        <v/>
      </c>
    </row>
    <row r="317" ht="24" customHeight="1">
      <c r="A317" s="11">
        <f>IF(Roster!A128="","","Period "&amp;Roster!B128&amp;"   ·   Student number "&amp;Roster!C128)</f>
        <v/>
      </c>
      <c r="E317" s="11">
        <f>IF(Roster!A129="","","Period "&amp;Roster!B129&amp;"   ·   Student number "&amp;Roster!C129)</f>
        <v/>
      </c>
    </row>
    <row r="318" ht="18" customHeight="1">
      <c r="A318" s="12">
        <f>IF(Roster!A128="","","Open: "&amp;Settings!$B$1)</f>
        <v/>
      </c>
      <c r="E318" s="12">
        <f>IF(Roster!A129="","","Open: "&amp;Settings!$B$1)</f>
        <v/>
      </c>
    </row>
    <row r="319" ht="30" customHeight="1">
      <c r="A319" s="12">
        <f>IF(Roster!A128="","","Tap Sign in, type your period and number, then sign in with your school Google account.")</f>
        <v/>
      </c>
      <c r="E319" s="12">
        <f>IF(Roster!A129="","","Tap Sign in, type your period and number, then sign in with your school Google account.")</f>
        <v/>
      </c>
    </row>
    <row r="320" ht="10" customHeight="1">
      <c r="A320" s="13" t="n"/>
      <c r="B320" s="14" t="n"/>
      <c r="C320" s="14" t="n"/>
      <c r="E320" s="13" t="n"/>
      <c r="F320" s="14" t="n"/>
      <c r="G320" s="14" t="n"/>
    </row>
    <row r="321" ht="24" customHeight="1">
      <c r="A321" s="10">
        <f>IF(Roster!A130="","",Roster!A130)</f>
        <v/>
      </c>
      <c r="E321" s="10">
        <f>IF(Roster!A131="","",Roster!A131)</f>
        <v/>
      </c>
    </row>
    <row r="322" ht="24" customHeight="1">
      <c r="A322" s="11">
        <f>IF(Roster!A130="","","Period "&amp;Roster!B130&amp;"   ·   Student number "&amp;Roster!C130)</f>
        <v/>
      </c>
      <c r="E322" s="11">
        <f>IF(Roster!A131="","","Period "&amp;Roster!B131&amp;"   ·   Student number "&amp;Roster!C131)</f>
        <v/>
      </c>
    </row>
    <row r="323" ht="18" customHeight="1">
      <c r="A323" s="12">
        <f>IF(Roster!A130="","","Open: "&amp;Settings!$B$1)</f>
        <v/>
      </c>
      <c r="E323" s="12">
        <f>IF(Roster!A131="","","Open: "&amp;Settings!$B$1)</f>
        <v/>
      </c>
    </row>
    <row r="324" ht="30" customHeight="1">
      <c r="A324" s="12">
        <f>IF(Roster!A130="","","Tap Sign in, type your period and number, then sign in with your school Google account.")</f>
        <v/>
      </c>
      <c r="E324" s="12">
        <f>IF(Roster!A131="","","Tap Sign in, type your period and number, then sign in with your school Google account.")</f>
        <v/>
      </c>
    </row>
    <row r="325" ht="10" customHeight="1">
      <c r="A325" s="13" t="n"/>
      <c r="B325" s="14" t="n"/>
      <c r="C325" s="14" t="n"/>
      <c r="E325" s="13" t="n"/>
      <c r="F325" s="14" t="n"/>
      <c r="G325" s="14" t="n"/>
    </row>
    <row r="326" ht="24" customHeight="1">
      <c r="A326" s="10">
        <f>IF(Roster!A132="","",Roster!A132)</f>
        <v/>
      </c>
      <c r="E326" s="10">
        <f>IF(Roster!A133="","",Roster!A133)</f>
        <v/>
      </c>
    </row>
    <row r="327" ht="24" customHeight="1">
      <c r="A327" s="11">
        <f>IF(Roster!A132="","","Period "&amp;Roster!B132&amp;"   ·   Student number "&amp;Roster!C132)</f>
        <v/>
      </c>
      <c r="E327" s="11">
        <f>IF(Roster!A133="","","Period "&amp;Roster!B133&amp;"   ·   Student number "&amp;Roster!C133)</f>
        <v/>
      </c>
    </row>
    <row r="328" ht="18" customHeight="1">
      <c r="A328" s="12">
        <f>IF(Roster!A132="","","Open: "&amp;Settings!$B$1)</f>
        <v/>
      </c>
      <c r="E328" s="12">
        <f>IF(Roster!A133="","","Open: "&amp;Settings!$B$1)</f>
        <v/>
      </c>
    </row>
    <row r="329" ht="30" customHeight="1">
      <c r="A329" s="12">
        <f>IF(Roster!A132="","","Tap Sign in, type your period and number, then sign in with your school Google account.")</f>
        <v/>
      </c>
      <c r="E329" s="12">
        <f>IF(Roster!A133="","","Tap Sign in, type your period and number, then sign in with your school Google account.")</f>
        <v/>
      </c>
    </row>
    <row r="330" ht="10" customHeight="1">
      <c r="A330" s="13" t="n"/>
      <c r="B330" s="14" t="n"/>
      <c r="C330" s="14" t="n"/>
      <c r="E330" s="13" t="n"/>
      <c r="F330" s="14" t="n"/>
      <c r="G330" s="14" t="n"/>
    </row>
    <row r="331" ht="24" customHeight="1">
      <c r="A331" s="10">
        <f>IF(Roster!A134="","",Roster!A134)</f>
        <v/>
      </c>
      <c r="E331" s="10">
        <f>IF(Roster!A135="","",Roster!A135)</f>
        <v/>
      </c>
    </row>
    <row r="332" ht="24" customHeight="1">
      <c r="A332" s="11">
        <f>IF(Roster!A134="","","Period "&amp;Roster!B134&amp;"   ·   Student number "&amp;Roster!C134)</f>
        <v/>
      </c>
      <c r="E332" s="11">
        <f>IF(Roster!A135="","","Period "&amp;Roster!B135&amp;"   ·   Student number "&amp;Roster!C135)</f>
        <v/>
      </c>
    </row>
    <row r="333" ht="18" customHeight="1">
      <c r="A333" s="12">
        <f>IF(Roster!A134="","","Open: "&amp;Settings!$B$1)</f>
        <v/>
      </c>
      <c r="E333" s="12">
        <f>IF(Roster!A135="","","Open: "&amp;Settings!$B$1)</f>
        <v/>
      </c>
    </row>
    <row r="334" ht="30" customHeight="1">
      <c r="A334" s="12">
        <f>IF(Roster!A134="","","Tap Sign in, type your period and number, then sign in with your school Google account.")</f>
        <v/>
      </c>
      <c r="E334" s="12">
        <f>IF(Roster!A135="","","Tap Sign in, type your period and number, then sign in with your school Google account.")</f>
        <v/>
      </c>
    </row>
    <row r="335" ht="10" customHeight="1">
      <c r="A335" s="13" t="n"/>
      <c r="B335" s="14" t="n"/>
      <c r="C335" s="14" t="n"/>
      <c r="E335" s="13" t="n"/>
      <c r="F335" s="14" t="n"/>
      <c r="G335" s="14" t="n"/>
    </row>
    <row r="336" ht="24" customHeight="1">
      <c r="A336" s="10">
        <f>IF(Roster!A136="","",Roster!A136)</f>
        <v/>
      </c>
      <c r="E336" s="10">
        <f>IF(Roster!A137="","",Roster!A137)</f>
        <v/>
      </c>
    </row>
    <row r="337" ht="24" customHeight="1">
      <c r="A337" s="11">
        <f>IF(Roster!A136="","","Period "&amp;Roster!B136&amp;"   ·   Student number "&amp;Roster!C136)</f>
        <v/>
      </c>
      <c r="E337" s="11">
        <f>IF(Roster!A137="","","Period "&amp;Roster!B137&amp;"   ·   Student number "&amp;Roster!C137)</f>
        <v/>
      </c>
    </row>
    <row r="338" ht="18" customHeight="1">
      <c r="A338" s="12">
        <f>IF(Roster!A136="","","Open: "&amp;Settings!$B$1)</f>
        <v/>
      </c>
      <c r="E338" s="12">
        <f>IF(Roster!A137="","","Open: "&amp;Settings!$B$1)</f>
        <v/>
      </c>
    </row>
    <row r="339" ht="30" customHeight="1">
      <c r="A339" s="12">
        <f>IF(Roster!A136="","","Tap Sign in, type your period and number, then sign in with your school Google account.")</f>
        <v/>
      </c>
      <c r="E339" s="12">
        <f>IF(Roster!A137="","","Tap Sign in, type your period and number, then sign in with your school Google account.")</f>
        <v/>
      </c>
    </row>
    <row r="340" ht="10" customHeight="1">
      <c r="A340" s="13" t="n"/>
      <c r="B340" s="14" t="n"/>
      <c r="C340" s="14" t="n"/>
      <c r="E340" s="13" t="n"/>
      <c r="F340" s="14" t="n"/>
      <c r="G340" s="14" t="n"/>
    </row>
    <row r="341" ht="24" customHeight="1">
      <c r="A341" s="10">
        <f>IF(Roster!A138="","",Roster!A138)</f>
        <v/>
      </c>
      <c r="E341" s="10">
        <f>IF(Roster!A139="","",Roster!A139)</f>
        <v/>
      </c>
    </row>
    <row r="342" ht="24" customHeight="1">
      <c r="A342" s="11">
        <f>IF(Roster!A138="","","Period "&amp;Roster!B138&amp;"   ·   Student number "&amp;Roster!C138)</f>
        <v/>
      </c>
      <c r="E342" s="11">
        <f>IF(Roster!A139="","","Period "&amp;Roster!B139&amp;"   ·   Student number "&amp;Roster!C139)</f>
        <v/>
      </c>
    </row>
    <row r="343" ht="18" customHeight="1">
      <c r="A343" s="12">
        <f>IF(Roster!A138="","","Open: "&amp;Settings!$B$1)</f>
        <v/>
      </c>
      <c r="E343" s="12">
        <f>IF(Roster!A139="","","Open: "&amp;Settings!$B$1)</f>
        <v/>
      </c>
    </row>
    <row r="344" ht="30" customHeight="1">
      <c r="A344" s="12">
        <f>IF(Roster!A138="","","Tap Sign in, type your period and number, then sign in with your school Google account.")</f>
        <v/>
      </c>
      <c r="E344" s="12">
        <f>IF(Roster!A139="","","Tap Sign in, type your period and number, then sign in with your school Google account.")</f>
        <v/>
      </c>
    </row>
    <row r="345" ht="10" customHeight="1">
      <c r="A345" s="13" t="n"/>
      <c r="B345" s="14" t="n"/>
      <c r="C345" s="14" t="n"/>
      <c r="E345" s="13" t="n"/>
      <c r="F345" s="14" t="n"/>
      <c r="G345" s="14" t="n"/>
    </row>
    <row r="346" ht="24" customHeight="1">
      <c r="A346" s="10">
        <f>IF(Roster!A140="","",Roster!A140)</f>
        <v/>
      </c>
      <c r="E346" s="10">
        <f>IF(Roster!A141="","",Roster!A141)</f>
        <v/>
      </c>
    </row>
    <row r="347" ht="24" customHeight="1">
      <c r="A347" s="11">
        <f>IF(Roster!A140="","","Period "&amp;Roster!B140&amp;"   ·   Student number "&amp;Roster!C140)</f>
        <v/>
      </c>
      <c r="E347" s="11">
        <f>IF(Roster!A141="","","Period "&amp;Roster!B141&amp;"   ·   Student number "&amp;Roster!C141)</f>
        <v/>
      </c>
    </row>
    <row r="348" ht="18" customHeight="1">
      <c r="A348" s="12">
        <f>IF(Roster!A140="","","Open: "&amp;Settings!$B$1)</f>
        <v/>
      </c>
      <c r="E348" s="12">
        <f>IF(Roster!A141="","","Open: "&amp;Settings!$B$1)</f>
        <v/>
      </c>
    </row>
    <row r="349" ht="30" customHeight="1">
      <c r="A349" s="12">
        <f>IF(Roster!A140="","","Tap Sign in, type your period and number, then sign in with your school Google account.")</f>
        <v/>
      </c>
      <c r="E349" s="12">
        <f>IF(Roster!A141="","","Tap Sign in, type your period and number, then sign in with your school Google account.")</f>
        <v/>
      </c>
    </row>
    <row r="350" ht="10" customHeight="1">
      <c r="A350" s="13" t="n"/>
      <c r="B350" s="14" t="n"/>
      <c r="C350" s="14" t="n"/>
      <c r="E350" s="13" t="n"/>
      <c r="F350" s="14" t="n"/>
      <c r="G350" s="14" t="n"/>
    </row>
    <row r="351" ht="24" customHeight="1">
      <c r="A351" s="10">
        <f>IF(Roster!A142="","",Roster!A142)</f>
        <v/>
      </c>
      <c r="E351" s="10">
        <f>IF(Roster!A143="","",Roster!A143)</f>
        <v/>
      </c>
    </row>
    <row r="352" ht="24" customHeight="1">
      <c r="A352" s="11">
        <f>IF(Roster!A142="","","Period "&amp;Roster!B142&amp;"   ·   Student number "&amp;Roster!C142)</f>
        <v/>
      </c>
      <c r="E352" s="11">
        <f>IF(Roster!A143="","","Period "&amp;Roster!B143&amp;"   ·   Student number "&amp;Roster!C143)</f>
        <v/>
      </c>
    </row>
    <row r="353" ht="18" customHeight="1">
      <c r="A353" s="12">
        <f>IF(Roster!A142="","","Open: "&amp;Settings!$B$1)</f>
        <v/>
      </c>
      <c r="E353" s="12">
        <f>IF(Roster!A143="","","Open: "&amp;Settings!$B$1)</f>
        <v/>
      </c>
    </row>
    <row r="354" ht="30" customHeight="1">
      <c r="A354" s="12">
        <f>IF(Roster!A142="","","Tap Sign in, type your period and number, then sign in with your school Google account.")</f>
        <v/>
      </c>
      <c r="E354" s="12">
        <f>IF(Roster!A143="","","Tap Sign in, type your period and number, then sign in with your school Google account.")</f>
        <v/>
      </c>
    </row>
    <row r="355" ht="10" customHeight="1">
      <c r="A355" s="13" t="n"/>
      <c r="B355" s="14" t="n"/>
      <c r="C355" s="14" t="n"/>
      <c r="E355" s="13" t="n"/>
      <c r="F355" s="14" t="n"/>
      <c r="G355" s="14" t="n"/>
    </row>
    <row r="356" ht="24" customHeight="1">
      <c r="A356" s="10">
        <f>IF(Roster!A144="","",Roster!A144)</f>
        <v/>
      </c>
      <c r="E356" s="10">
        <f>IF(Roster!A145="","",Roster!A145)</f>
        <v/>
      </c>
    </row>
    <row r="357" ht="24" customHeight="1">
      <c r="A357" s="11">
        <f>IF(Roster!A144="","","Period "&amp;Roster!B144&amp;"   ·   Student number "&amp;Roster!C144)</f>
        <v/>
      </c>
      <c r="E357" s="11">
        <f>IF(Roster!A145="","","Period "&amp;Roster!B145&amp;"   ·   Student number "&amp;Roster!C145)</f>
        <v/>
      </c>
    </row>
    <row r="358" ht="18" customHeight="1">
      <c r="A358" s="12">
        <f>IF(Roster!A144="","","Open: "&amp;Settings!$B$1)</f>
        <v/>
      </c>
      <c r="E358" s="12">
        <f>IF(Roster!A145="","","Open: "&amp;Settings!$B$1)</f>
        <v/>
      </c>
    </row>
    <row r="359" ht="30" customHeight="1">
      <c r="A359" s="12">
        <f>IF(Roster!A144="","","Tap Sign in, type your period and number, then sign in with your school Google account.")</f>
        <v/>
      </c>
      <c r="E359" s="12">
        <f>IF(Roster!A145="","","Tap Sign in, type your period and number, then sign in with your school Google account.")</f>
        <v/>
      </c>
    </row>
    <row r="360" ht="10" customHeight="1">
      <c r="A360" s="13" t="n"/>
      <c r="B360" s="14" t="n"/>
      <c r="C360" s="14" t="n"/>
      <c r="E360" s="13" t="n"/>
      <c r="F360" s="14" t="n"/>
      <c r="G360" s="14" t="n"/>
    </row>
    <row r="361" ht="24" customHeight="1">
      <c r="A361" s="10">
        <f>IF(Roster!A146="","",Roster!A146)</f>
        <v/>
      </c>
      <c r="E361" s="10">
        <f>IF(Roster!A147="","",Roster!A147)</f>
        <v/>
      </c>
    </row>
    <row r="362" ht="24" customHeight="1">
      <c r="A362" s="11">
        <f>IF(Roster!A146="","","Period "&amp;Roster!B146&amp;"   ·   Student number "&amp;Roster!C146)</f>
        <v/>
      </c>
      <c r="E362" s="11">
        <f>IF(Roster!A147="","","Period "&amp;Roster!B147&amp;"   ·   Student number "&amp;Roster!C147)</f>
        <v/>
      </c>
    </row>
    <row r="363" ht="18" customHeight="1">
      <c r="A363" s="12">
        <f>IF(Roster!A146="","","Open: "&amp;Settings!$B$1)</f>
        <v/>
      </c>
      <c r="E363" s="12">
        <f>IF(Roster!A147="","","Open: "&amp;Settings!$B$1)</f>
        <v/>
      </c>
    </row>
    <row r="364" ht="30" customHeight="1">
      <c r="A364" s="12">
        <f>IF(Roster!A146="","","Tap Sign in, type your period and number, then sign in with your school Google account.")</f>
        <v/>
      </c>
      <c r="E364" s="12">
        <f>IF(Roster!A147="","","Tap Sign in, type your period and number, then sign in with your school Google account.")</f>
        <v/>
      </c>
    </row>
    <row r="365" ht="10" customHeight="1">
      <c r="A365" s="13" t="n"/>
      <c r="B365" s="14" t="n"/>
      <c r="C365" s="14" t="n"/>
      <c r="E365" s="13" t="n"/>
      <c r="F365" s="14" t="n"/>
      <c r="G365" s="14" t="n"/>
    </row>
    <row r="366" ht="24" customHeight="1">
      <c r="A366" s="10">
        <f>IF(Roster!A148="","",Roster!A148)</f>
        <v/>
      </c>
      <c r="E366" s="10">
        <f>IF(Roster!A149="","",Roster!A149)</f>
        <v/>
      </c>
    </row>
    <row r="367" ht="24" customHeight="1">
      <c r="A367" s="11">
        <f>IF(Roster!A148="","","Period "&amp;Roster!B148&amp;"   ·   Student number "&amp;Roster!C148)</f>
        <v/>
      </c>
      <c r="E367" s="11">
        <f>IF(Roster!A149="","","Period "&amp;Roster!B149&amp;"   ·   Student number "&amp;Roster!C149)</f>
        <v/>
      </c>
    </row>
    <row r="368" ht="18" customHeight="1">
      <c r="A368" s="12">
        <f>IF(Roster!A148="","","Open: "&amp;Settings!$B$1)</f>
        <v/>
      </c>
      <c r="E368" s="12">
        <f>IF(Roster!A149="","","Open: "&amp;Settings!$B$1)</f>
        <v/>
      </c>
    </row>
    <row r="369" ht="30" customHeight="1">
      <c r="A369" s="12">
        <f>IF(Roster!A148="","","Tap Sign in, type your period and number, then sign in with your school Google account.")</f>
        <v/>
      </c>
      <c r="E369" s="12">
        <f>IF(Roster!A149="","","Tap Sign in, type your period and number, then sign in with your school Google account.")</f>
        <v/>
      </c>
    </row>
    <row r="370" ht="10" customHeight="1">
      <c r="A370" s="13" t="n"/>
      <c r="B370" s="14" t="n"/>
      <c r="C370" s="14" t="n"/>
      <c r="E370" s="13" t="n"/>
      <c r="F370" s="14" t="n"/>
      <c r="G370" s="14" t="n"/>
    </row>
    <row r="371" ht="24" customHeight="1">
      <c r="A371" s="10">
        <f>IF(Roster!A150="","",Roster!A150)</f>
        <v/>
      </c>
      <c r="E371" s="10">
        <f>IF(Roster!A151="","",Roster!A151)</f>
        <v/>
      </c>
    </row>
    <row r="372" ht="24" customHeight="1">
      <c r="A372" s="11">
        <f>IF(Roster!A150="","","Period "&amp;Roster!B150&amp;"   ·   Student number "&amp;Roster!C150)</f>
        <v/>
      </c>
      <c r="E372" s="11">
        <f>IF(Roster!A151="","","Period "&amp;Roster!B151&amp;"   ·   Student number "&amp;Roster!C151)</f>
        <v/>
      </c>
    </row>
    <row r="373" ht="18" customHeight="1">
      <c r="A373" s="12">
        <f>IF(Roster!A150="","","Open: "&amp;Settings!$B$1)</f>
        <v/>
      </c>
      <c r="E373" s="12">
        <f>IF(Roster!A151="","","Open: "&amp;Settings!$B$1)</f>
        <v/>
      </c>
    </row>
    <row r="374" ht="30" customHeight="1">
      <c r="A374" s="12">
        <f>IF(Roster!A150="","","Tap Sign in, type your period and number, then sign in with your school Google account.")</f>
        <v/>
      </c>
      <c r="E374" s="12">
        <f>IF(Roster!A151="","","Tap Sign in, type your period and number, then sign in with your school Google account.")</f>
        <v/>
      </c>
    </row>
    <row r="375" ht="10" customHeight="1">
      <c r="A375" s="13" t="n"/>
      <c r="B375" s="14" t="n"/>
      <c r="C375" s="14" t="n"/>
      <c r="E375" s="13" t="n"/>
      <c r="F375" s="14" t="n"/>
      <c r="G375" s="14" t="n"/>
    </row>
  </sheetData>
  <mergeCells count="750">
    <mergeCell ref="A128:C128"/>
    <mergeCell ref="E161:G161"/>
    <mergeCell ref="A255:C255"/>
    <mergeCell ref="E288:G288"/>
    <mergeCell ref="A326:C326"/>
    <mergeCell ref="A364:C364"/>
    <mergeCell ref="A136:C136"/>
    <mergeCell ref="A21:C21"/>
    <mergeCell ref="A192:C192"/>
    <mergeCell ref="A57:C57"/>
    <mergeCell ref="A113:C113"/>
    <mergeCell ref="A23:C23"/>
    <mergeCell ref="A194:C194"/>
    <mergeCell ref="A181:C181"/>
    <mergeCell ref="E250:G250"/>
    <mergeCell ref="E237:G237"/>
    <mergeCell ref="E212:G212"/>
    <mergeCell ref="E16:G16"/>
    <mergeCell ref="A52:C52"/>
    <mergeCell ref="E301:G301"/>
    <mergeCell ref="E239:G239"/>
    <mergeCell ref="E214:G214"/>
    <mergeCell ref="E18:G18"/>
    <mergeCell ref="E285:G285"/>
    <mergeCell ref="A352:C352"/>
    <mergeCell ref="A34:C34"/>
    <mergeCell ref="A83:C83"/>
    <mergeCell ref="A270:C270"/>
    <mergeCell ref="A368:C368"/>
    <mergeCell ref="E278:G278"/>
    <mergeCell ref="A49:C49"/>
    <mergeCell ref="A110:C110"/>
    <mergeCell ref="E372:G372"/>
    <mergeCell ref="A334:C334"/>
    <mergeCell ref="E92:G92"/>
    <mergeCell ref="E293:G293"/>
    <mergeCell ref="A370:C370"/>
    <mergeCell ref="E138:G138"/>
    <mergeCell ref="A174:C174"/>
    <mergeCell ref="A205:C205"/>
    <mergeCell ref="E374:G374"/>
    <mergeCell ref="E230:G230"/>
    <mergeCell ref="E205:G205"/>
    <mergeCell ref="A118:C118"/>
    <mergeCell ref="E69:G69"/>
    <mergeCell ref="A238:C238"/>
    <mergeCell ref="E311:G311"/>
    <mergeCell ref="E367:G367"/>
    <mergeCell ref="E167:G167"/>
    <mergeCell ref="A55:C55"/>
    <mergeCell ref="E232:G232"/>
    <mergeCell ref="E354:G354"/>
    <mergeCell ref="E6:G6"/>
    <mergeCell ref="E77:G77"/>
    <mergeCell ref="E133:G133"/>
    <mergeCell ref="E304:G304"/>
    <mergeCell ref="E369:G369"/>
    <mergeCell ref="E169:G169"/>
    <mergeCell ref="E225:G225"/>
    <mergeCell ref="A263:C263"/>
    <mergeCell ref="E296:G296"/>
    <mergeCell ref="E356:G356"/>
    <mergeCell ref="E306:G306"/>
    <mergeCell ref="E162:G162"/>
    <mergeCell ref="A29:C29"/>
    <mergeCell ref="A4:C4"/>
    <mergeCell ref="A200:C200"/>
    <mergeCell ref="E227:G227"/>
    <mergeCell ref="A265:C265"/>
    <mergeCell ref="A121:C121"/>
    <mergeCell ref="E72:G72"/>
    <mergeCell ref="A357:C357"/>
    <mergeCell ref="A44:C44"/>
    <mergeCell ref="E164:G164"/>
    <mergeCell ref="A31:C31"/>
    <mergeCell ref="A202:C202"/>
    <mergeCell ref="A58:C58"/>
    <mergeCell ref="A258:C258"/>
    <mergeCell ref="A329:C329"/>
    <mergeCell ref="E258:G258"/>
    <mergeCell ref="A24:C24"/>
    <mergeCell ref="A73:C73"/>
    <mergeCell ref="A266:C266"/>
    <mergeCell ref="A260:C260"/>
    <mergeCell ref="E24:G24"/>
    <mergeCell ref="A60:C60"/>
    <mergeCell ref="E195:G195"/>
    <mergeCell ref="E322:G322"/>
    <mergeCell ref="A358:C358"/>
    <mergeCell ref="E309:G309"/>
    <mergeCell ref="A197:C197"/>
    <mergeCell ref="E17:G17"/>
    <mergeCell ref="E88:G88"/>
    <mergeCell ref="A124:C124"/>
    <mergeCell ref="E259:G259"/>
    <mergeCell ref="E82:G82"/>
    <mergeCell ref="E253:G253"/>
    <mergeCell ref="E153:G153"/>
    <mergeCell ref="E324:G324"/>
    <mergeCell ref="E180:G180"/>
    <mergeCell ref="A360:C360"/>
    <mergeCell ref="E240:G240"/>
    <mergeCell ref="E1:G1"/>
    <mergeCell ref="E19:G19"/>
    <mergeCell ref="A84:C84"/>
    <mergeCell ref="A149:C149"/>
    <mergeCell ref="E65:G65"/>
    <mergeCell ref="E182:G182"/>
    <mergeCell ref="E363:G363"/>
    <mergeCell ref="A50:C50"/>
    <mergeCell ref="E319:G319"/>
    <mergeCell ref="A86:C86"/>
    <mergeCell ref="A42:C42"/>
    <mergeCell ref="A213:C213"/>
    <mergeCell ref="A151:C151"/>
    <mergeCell ref="A188:C188"/>
    <mergeCell ref="A126:C126"/>
    <mergeCell ref="A150:C150"/>
    <mergeCell ref="A144:C144"/>
    <mergeCell ref="E375:G375"/>
    <mergeCell ref="E179:G179"/>
    <mergeCell ref="A215:C215"/>
    <mergeCell ref="A190:C190"/>
    <mergeCell ref="A152:C152"/>
    <mergeCell ref="E246:G246"/>
    <mergeCell ref="E233:G233"/>
    <mergeCell ref="E37:G37"/>
    <mergeCell ref="E208:G208"/>
    <mergeCell ref="E12:G12"/>
    <mergeCell ref="E248:G248"/>
    <mergeCell ref="E297:G297"/>
    <mergeCell ref="E272:G272"/>
    <mergeCell ref="E235:G235"/>
    <mergeCell ref="E210:G210"/>
    <mergeCell ref="E247:G247"/>
    <mergeCell ref="E14:G14"/>
    <mergeCell ref="E185:G185"/>
    <mergeCell ref="A291:C291"/>
    <mergeCell ref="E312:G312"/>
    <mergeCell ref="A79:C79"/>
    <mergeCell ref="E299:G299"/>
    <mergeCell ref="A70:C70"/>
    <mergeCell ref="A355:C355"/>
    <mergeCell ref="E314:G314"/>
    <mergeCell ref="A137:C137"/>
    <mergeCell ref="A330:C330"/>
    <mergeCell ref="A268:C268"/>
    <mergeCell ref="A366:C366"/>
    <mergeCell ref="A74:C74"/>
    <mergeCell ref="A145:C145"/>
    <mergeCell ref="A139:C139"/>
    <mergeCell ref="E201:G201"/>
    <mergeCell ref="E90:G90"/>
    <mergeCell ref="E261:G261"/>
    <mergeCell ref="A76:C76"/>
    <mergeCell ref="A203:C203"/>
    <mergeCell ref="A374:C374"/>
    <mergeCell ref="E27:G27"/>
    <mergeCell ref="E154:G154"/>
    <mergeCell ref="E325:G325"/>
    <mergeCell ref="A361:C361"/>
    <mergeCell ref="E119:G119"/>
    <mergeCell ref="A140:C140"/>
    <mergeCell ref="A311:C311"/>
    <mergeCell ref="E91:G91"/>
    <mergeCell ref="E25:G25"/>
    <mergeCell ref="E196:G196"/>
    <mergeCell ref="E85:G85"/>
    <mergeCell ref="E256:G256"/>
    <mergeCell ref="E327:G327"/>
    <mergeCell ref="E183:G183"/>
    <mergeCell ref="E302:G302"/>
    <mergeCell ref="E93:G93"/>
    <mergeCell ref="E198:G198"/>
    <mergeCell ref="A92:C92"/>
    <mergeCell ref="A279:C279"/>
    <mergeCell ref="A350:C350"/>
    <mergeCell ref="A300:C300"/>
    <mergeCell ref="A45:C45"/>
    <mergeCell ref="A94:C94"/>
    <mergeCell ref="A216:C216"/>
    <mergeCell ref="A287:C287"/>
    <mergeCell ref="A343:C343"/>
    <mergeCell ref="A281:C281"/>
    <mergeCell ref="E343:G343"/>
    <mergeCell ref="A87:C87"/>
    <mergeCell ref="A218:C218"/>
    <mergeCell ref="E38:G38"/>
    <mergeCell ref="A345:C345"/>
    <mergeCell ref="E280:G280"/>
    <mergeCell ref="A316:C316"/>
    <mergeCell ref="E274:G274"/>
    <mergeCell ref="A193:C193"/>
    <mergeCell ref="E13:G13"/>
    <mergeCell ref="A46:C46"/>
    <mergeCell ref="E249:G249"/>
    <mergeCell ref="A89:C89"/>
    <mergeCell ref="A282:C282"/>
    <mergeCell ref="E40:G40"/>
    <mergeCell ref="E338:G338"/>
    <mergeCell ref="A105:C105"/>
    <mergeCell ref="E15:G15"/>
    <mergeCell ref="A26:C26"/>
    <mergeCell ref="E186:G186"/>
    <mergeCell ref="E257:G257"/>
    <mergeCell ref="A71:C71"/>
    <mergeCell ref="E104:G104"/>
    <mergeCell ref="A313:C313"/>
    <mergeCell ref="A307:C307"/>
    <mergeCell ref="E340:G340"/>
    <mergeCell ref="A234:C234"/>
    <mergeCell ref="E315:G315"/>
    <mergeCell ref="A184:C184"/>
    <mergeCell ref="A371:C371"/>
    <mergeCell ref="A171:C171"/>
    <mergeCell ref="A165:C165"/>
    <mergeCell ref="E81:G81"/>
    <mergeCell ref="A173:C173"/>
    <mergeCell ref="A229:C229"/>
    <mergeCell ref="A77:C77"/>
    <mergeCell ref="A148:C148"/>
    <mergeCell ref="E106:G106"/>
    <mergeCell ref="E204:G204"/>
    <mergeCell ref="A6:C6"/>
    <mergeCell ref="E141:G141"/>
    <mergeCell ref="E135:G135"/>
    <mergeCell ref="E35:G35"/>
    <mergeCell ref="E206:G206"/>
    <mergeCell ref="E262:G262"/>
    <mergeCell ref="E328:G328"/>
    <mergeCell ref="E107:G107"/>
    <mergeCell ref="E143:G143"/>
    <mergeCell ref="E28:G28"/>
    <mergeCell ref="A66:C66"/>
    <mergeCell ref="A351:C351"/>
    <mergeCell ref="A120:C120"/>
    <mergeCell ref="A3:C3"/>
    <mergeCell ref="E30:G30"/>
    <mergeCell ref="A301:C301"/>
    <mergeCell ref="A239:C239"/>
    <mergeCell ref="E59:G59"/>
    <mergeCell ref="A95:C95"/>
    <mergeCell ref="A160:C160"/>
    <mergeCell ref="E46:G46"/>
    <mergeCell ref="A331:C331"/>
    <mergeCell ref="A5:C5"/>
    <mergeCell ref="A32:C32"/>
    <mergeCell ref="A303:C303"/>
    <mergeCell ref="A159:C159"/>
    <mergeCell ref="E61:G61"/>
    <mergeCell ref="A97:C97"/>
    <mergeCell ref="A219:C219"/>
    <mergeCell ref="A224:C224"/>
    <mergeCell ref="A290:C290"/>
    <mergeCell ref="E359:G359"/>
    <mergeCell ref="E346:G346"/>
    <mergeCell ref="A96:C96"/>
    <mergeCell ref="E54:G54"/>
    <mergeCell ref="E321:G321"/>
    <mergeCell ref="E125:G125"/>
    <mergeCell ref="A161:C161"/>
    <mergeCell ref="A332:C332"/>
    <mergeCell ref="A288:C288"/>
    <mergeCell ref="E41:G41"/>
    <mergeCell ref="E112:G112"/>
    <mergeCell ref="E217:G217"/>
    <mergeCell ref="E283:G283"/>
    <mergeCell ref="E277:G277"/>
    <mergeCell ref="E348:G348"/>
    <mergeCell ref="E56:G56"/>
    <mergeCell ref="E323:G323"/>
    <mergeCell ref="E43:G43"/>
    <mergeCell ref="E341:G341"/>
    <mergeCell ref="E129:G129"/>
    <mergeCell ref="E181:G181"/>
    <mergeCell ref="A123:C123"/>
    <mergeCell ref="A250:C250"/>
    <mergeCell ref="E131:G131"/>
    <mergeCell ref="A237:C237"/>
    <mergeCell ref="A212:C212"/>
    <mergeCell ref="A16:C16"/>
    <mergeCell ref="A187:C187"/>
    <mergeCell ref="A108:C108"/>
    <mergeCell ref="E295:G295"/>
    <mergeCell ref="A214:C214"/>
    <mergeCell ref="A18:C18"/>
    <mergeCell ref="E34:G34"/>
    <mergeCell ref="E9:G9"/>
    <mergeCell ref="A189:C189"/>
    <mergeCell ref="E276:G276"/>
    <mergeCell ref="E270:G270"/>
    <mergeCell ref="A306:C306"/>
    <mergeCell ref="A278:C278"/>
    <mergeCell ref="E36:G36"/>
    <mergeCell ref="E11:G11"/>
    <mergeCell ref="A47:C47"/>
    <mergeCell ref="E207:G207"/>
    <mergeCell ref="E334:G334"/>
    <mergeCell ref="A22:C22"/>
    <mergeCell ref="E113:G113"/>
    <mergeCell ref="E100:G100"/>
    <mergeCell ref="E271:G271"/>
    <mergeCell ref="E336:G336"/>
    <mergeCell ref="E136:G136"/>
    <mergeCell ref="A134:C134"/>
    <mergeCell ref="E115:G115"/>
    <mergeCell ref="E102:G102"/>
    <mergeCell ref="E273:G273"/>
    <mergeCell ref="A167:C167"/>
    <mergeCell ref="A182:C182"/>
    <mergeCell ref="A304:C304"/>
    <mergeCell ref="E62:G62"/>
    <mergeCell ref="A98:C98"/>
    <mergeCell ref="A169:C169"/>
    <mergeCell ref="A225:C225"/>
    <mergeCell ref="E127:G127"/>
    <mergeCell ref="E347:G347"/>
    <mergeCell ref="E4:G4"/>
    <mergeCell ref="A162:C162"/>
    <mergeCell ref="E64:G64"/>
    <mergeCell ref="A227:C227"/>
    <mergeCell ref="E362:G362"/>
    <mergeCell ref="E51:G51"/>
    <mergeCell ref="E156:G156"/>
    <mergeCell ref="E349:G349"/>
    <mergeCell ref="A177:C177"/>
    <mergeCell ref="E128:G128"/>
    <mergeCell ref="A164:C164"/>
    <mergeCell ref="E155:G155"/>
    <mergeCell ref="A335:C335"/>
    <mergeCell ref="E364:G364"/>
    <mergeCell ref="E220:G220"/>
    <mergeCell ref="E291:G291"/>
    <mergeCell ref="E157:G157"/>
    <mergeCell ref="A195:C195"/>
    <mergeCell ref="A251:C251"/>
    <mergeCell ref="E284:G284"/>
    <mergeCell ref="E222:G222"/>
    <mergeCell ref="A322:C322"/>
    <mergeCell ref="A116:C116"/>
    <mergeCell ref="A309:C309"/>
    <mergeCell ref="E197:G197"/>
    <mergeCell ref="A17:C17"/>
    <mergeCell ref="A259:C259"/>
    <mergeCell ref="A253:C253"/>
    <mergeCell ref="A53:C53"/>
    <mergeCell ref="A109:C109"/>
    <mergeCell ref="E286:G286"/>
    <mergeCell ref="A180:C180"/>
    <mergeCell ref="A324:C324"/>
    <mergeCell ref="A240:C240"/>
    <mergeCell ref="A19:C19"/>
    <mergeCell ref="A68:C68"/>
    <mergeCell ref="A117:C117"/>
    <mergeCell ref="E75:G75"/>
    <mergeCell ref="A111:C111"/>
    <mergeCell ref="E146:G146"/>
    <mergeCell ref="E317:G317"/>
    <mergeCell ref="A353:C353"/>
    <mergeCell ref="E50:G50"/>
    <mergeCell ref="A328:C328"/>
    <mergeCell ref="E298:G298"/>
    <mergeCell ref="A48:C48"/>
    <mergeCell ref="A319:C319"/>
    <mergeCell ref="E344:G344"/>
    <mergeCell ref="A142:C142"/>
    <mergeCell ref="E175:G175"/>
    <mergeCell ref="E368:G368"/>
    <mergeCell ref="E52:G52"/>
    <mergeCell ref="E150:G150"/>
    <mergeCell ref="E39:G39"/>
    <mergeCell ref="E337:G337"/>
    <mergeCell ref="E373:G373"/>
    <mergeCell ref="E352:G352"/>
    <mergeCell ref="E103:G103"/>
    <mergeCell ref="E152:G152"/>
    <mergeCell ref="E339:G339"/>
    <mergeCell ref="E170:G170"/>
    <mergeCell ref="A233:C233"/>
    <mergeCell ref="A37:C37"/>
    <mergeCell ref="A208:C208"/>
    <mergeCell ref="E118:G118"/>
    <mergeCell ref="A297:C297"/>
    <mergeCell ref="A272:C272"/>
    <mergeCell ref="A235:C235"/>
    <mergeCell ref="A210:C210"/>
    <mergeCell ref="E226:G226"/>
    <mergeCell ref="E370:G370"/>
    <mergeCell ref="A247:C247"/>
    <mergeCell ref="A185:C185"/>
    <mergeCell ref="E57:G57"/>
    <mergeCell ref="E228:G228"/>
    <mergeCell ref="E355:G355"/>
    <mergeCell ref="E7:G7"/>
    <mergeCell ref="A43:C43"/>
    <mergeCell ref="E172:G172"/>
    <mergeCell ref="E305:G305"/>
    <mergeCell ref="E243:G243"/>
    <mergeCell ref="E365:G365"/>
    <mergeCell ref="E292:G292"/>
    <mergeCell ref="A63:C63"/>
    <mergeCell ref="E307:G307"/>
    <mergeCell ref="E58:G58"/>
    <mergeCell ref="A130:C130"/>
    <mergeCell ref="E223:G223"/>
    <mergeCell ref="A261:C261"/>
    <mergeCell ref="E294:G294"/>
    <mergeCell ref="A138:C138"/>
    <mergeCell ref="A132:C132"/>
    <mergeCell ref="E165:G165"/>
    <mergeCell ref="A325:C325"/>
    <mergeCell ref="E83:G83"/>
    <mergeCell ref="A119:C119"/>
    <mergeCell ref="E254:G254"/>
    <mergeCell ref="A69:C69"/>
    <mergeCell ref="A196:C196"/>
    <mergeCell ref="A367:C367"/>
    <mergeCell ref="A256:C256"/>
    <mergeCell ref="E20:G20"/>
    <mergeCell ref="A183:C183"/>
    <mergeCell ref="E318:G318"/>
    <mergeCell ref="A354:C354"/>
    <mergeCell ref="A133:C133"/>
    <mergeCell ref="E60:G60"/>
    <mergeCell ref="E177:G177"/>
    <mergeCell ref="A264:C264"/>
    <mergeCell ref="A198:C198"/>
    <mergeCell ref="E84:G84"/>
    <mergeCell ref="A369:C369"/>
    <mergeCell ref="E78:G78"/>
    <mergeCell ref="E149:G149"/>
    <mergeCell ref="E320:G320"/>
    <mergeCell ref="E176:G176"/>
    <mergeCell ref="A356:C356"/>
    <mergeCell ref="E114:G114"/>
    <mergeCell ref="E241:G241"/>
    <mergeCell ref="E360:G360"/>
    <mergeCell ref="E86:G86"/>
    <mergeCell ref="E191:G191"/>
    <mergeCell ref="E80:G80"/>
    <mergeCell ref="E178:G178"/>
    <mergeCell ref="E144:G144"/>
    <mergeCell ref="A38:C38"/>
    <mergeCell ref="A209:C209"/>
    <mergeCell ref="A147:C147"/>
    <mergeCell ref="A280:C280"/>
    <mergeCell ref="A274:C274"/>
    <mergeCell ref="A13:C13"/>
    <mergeCell ref="A372:C372"/>
    <mergeCell ref="A249:C249"/>
    <mergeCell ref="A40:C40"/>
    <mergeCell ref="A211:C211"/>
    <mergeCell ref="A67:C67"/>
    <mergeCell ref="A338:C338"/>
    <mergeCell ref="E267:G267"/>
    <mergeCell ref="A15:C15"/>
    <mergeCell ref="A186:C186"/>
    <mergeCell ref="A257:C257"/>
    <mergeCell ref="A51:C51"/>
    <mergeCell ref="E71:G71"/>
    <mergeCell ref="A82:C82"/>
    <mergeCell ref="E313:G313"/>
    <mergeCell ref="A275:C275"/>
    <mergeCell ref="A349:C349"/>
    <mergeCell ref="E33:G33"/>
    <mergeCell ref="A340:C340"/>
    <mergeCell ref="E269:G269"/>
    <mergeCell ref="E8:G8"/>
    <mergeCell ref="A315:C315"/>
    <mergeCell ref="E79:G79"/>
    <mergeCell ref="A146:C146"/>
    <mergeCell ref="E73:G73"/>
    <mergeCell ref="E244:G244"/>
    <mergeCell ref="E371:G371"/>
    <mergeCell ref="E171:G171"/>
    <mergeCell ref="E231:G231"/>
    <mergeCell ref="E358:G358"/>
    <mergeCell ref="E333:G333"/>
    <mergeCell ref="A252:C252"/>
    <mergeCell ref="E10:G10"/>
    <mergeCell ref="E137:G137"/>
    <mergeCell ref="E308:G308"/>
    <mergeCell ref="E173:G173"/>
    <mergeCell ref="A158:C158"/>
    <mergeCell ref="E74:G74"/>
    <mergeCell ref="E245:G245"/>
    <mergeCell ref="E310:G310"/>
    <mergeCell ref="E166:G166"/>
    <mergeCell ref="A204:C204"/>
    <mergeCell ref="A141:C141"/>
    <mergeCell ref="A135:C135"/>
    <mergeCell ref="E168:G168"/>
    <mergeCell ref="A206:C206"/>
    <mergeCell ref="A262:C262"/>
    <mergeCell ref="A62:C62"/>
    <mergeCell ref="A122:C122"/>
    <mergeCell ref="A72:C72"/>
    <mergeCell ref="A28:C28"/>
    <mergeCell ref="A199:C199"/>
    <mergeCell ref="E199:G199"/>
    <mergeCell ref="E255:G255"/>
    <mergeCell ref="E326:G326"/>
    <mergeCell ref="A362:C362"/>
    <mergeCell ref="E242:G242"/>
    <mergeCell ref="E361:G361"/>
    <mergeCell ref="A30:C30"/>
    <mergeCell ref="E21:G21"/>
    <mergeCell ref="E192:G192"/>
    <mergeCell ref="A59:C59"/>
    <mergeCell ref="E263:G263"/>
    <mergeCell ref="E219:G219"/>
    <mergeCell ref="E23:G23"/>
    <mergeCell ref="E194:G194"/>
    <mergeCell ref="A61:C61"/>
    <mergeCell ref="A88:C88"/>
    <mergeCell ref="A359:C359"/>
    <mergeCell ref="A153:C153"/>
    <mergeCell ref="A346:C346"/>
    <mergeCell ref="A54:C54"/>
    <mergeCell ref="E87:G87"/>
    <mergeCell ref="A41:C41"/>
    <mergeCell ref="A90:C90"/>
    <mergeCell ref="A283:C283"/>
    <mergeCell ref="A217:C217"/>
    <mergeCell ref="A277:C277"/>
    <mergeCell ref="A375:C375"/>
    <mergeCell ref="A56:C56"/>
    <mergeCell ref="A27:C27"/>
    <mergeCell ref="A154:C154"/>
    <mergeCell ref="E252:G252"/>
    <mergeCell ref="A285:C285"/>
    <mergeCell ref="A341:C341"/>
    <mergeCell ref="E105:G105"/>
    <mergeCell ref="A129:C129"/>
    <mergeCell ref="E99:G99"/>
    <mergeCell ref="E366:G366"/>
    <mergeCell ref="E49:G49"/>
    <mergeCell ref="A85:C85"/>
    <mergeCell ref="E316:G316"/>
    <mergeCell ref="E110:G110"/>
    <mergeCell ref="E163:G163"/>
    <mergeCell ref="A131:C131"/>
    <mergeCell ref="E101:G101"/>
    <mergeCell ref="E187:G187"/>
    <mergeCell ref="E76:G76"/>
    <mergeCell ref="E174:G174"/>
    <mergeCell ref="A230:C230"/>
    <mergeCell ref="E251:G251"/>
    <mergeCell ref="E189:G189"/>
    <mergeCell ref="A295:C295"/>
    <mergeCell ref="E238:G238"/>
    <mergeCell ref="A9:C9"/>
    <mergeCell ref="A143:C143"/>
    <mergeCell ref="A276:C276"/>
    <mergeCell ref="A232:C232"/>
    <mergeCell ref="A36:C36"/>
    <mergeCell ref="A11:C11"/>
    <mergeCell ref="A207:C207"/>
    <mergeCell ref="A1:C1"/>
    <mergeCell ref="A296:C296"/>
    <mergeCell ref="A78:C78"/>
    <mergeCell ref="A271:C271"/>
    <mergeCell ref="A65:C65"/>
    <mergeCell ref="E29:G29"/>
    <mergeCell ref="E200:G200"/>
    <mergeCell ref="A363:C363"/>
    <mergeCell ref="E94:G94"/>
    <mergeCell ref="E265:G265"/>
    <mergeCell ref="A80:C80"/>
    <mergeCell ref="A273:C273"/>
    <mergeCell ref="E31:G31"/>
    <mergeCell ref="E202:G202"/>
    <mergeCell ref="E158:G158"/>
    <mergeCell ref="E329:G329"/>
    <mergeCell ref="A365:C365"/>
    <mergeCell ref="E108:G108"/>
    <mergeCell ref="A179:C179"/>
    <mergeCell ref="E95:G95"/>
    <mergeCell ref="E266:G266"/>
    <mergeCell ref="A302:C302"/>
    <mergeCell ref="E89:G89"/>
    <mergeCell ref="E260:G260"/>
    <mergeCell ref="A298:C298"/>
    <mergeCell ref="E331:G331"/>
    <mergeCell ref="E26:G26"/>
    <mergeCell ref="A91:C91"/>
    <mergeCell ref="E124:G124"/>
    <mergeCell ref="E120:G120"/>
    <mergeCell ref="A156:C156"/>
    <mergeCell ref="A327:C327"/>
    <mergeCell ref="A299:C299"/>
    <mergeCell ref="A155:C155"/>
    <mergeCell ref="A293:C293"/>
    <mergeCell ref="A93:C93"/>
    <mergeCell ref="E184:G184"/>
    <mergeCell ref="A220:C220"/>
    <mergeCell ref="E342:G342"/>
    <mergeCell ref="E121:G121"/>
    <mergeCell ref="A157:C157"/>
    <mergeCell ref="A284:C284"/>
    <mergeCell ref="A222:C222"/>
    <mergeCell ref="E357:G357"/>
    <mergeCell ref="E42:G42"/>
    <mergeCell ref="E213:G213"/>
    <mergeCell ref="E151:G151"/>
    <mergeCell ref="E188:G188"/>
    <mergeCell ref="E126:G126"/>
    <mergeCell ref="E123:G123"/>
    <mergeCell ref="E44:G44"/>
    <mergeCell ref="E215:G215"/>
    <mergeCell ref="E190:G190"/>
    <mergeCell ref="A75:C75"/>
    <mergeCell ref="A246:C246"/>
    <mergeCell ref="E279:G279"/>
    <mergeCell ref="A317:C317"/>
    <mergeCell ref="A12:C12"/>
    <mergeCell ref="A248:C248"/>
    <mergeCell ref="A104:C104"/>
    <mergeCell ref="A175:C175"/>
    <mergeCell ref="A321:C321"/>
    <mergeCell ref="A14:C14"/>
    <mergeCell ref="A312:C312"/>
    <mergeCell ref="E70:G70"/>
    <mergeCell ref="A106:C106"/>
    <mergeCell ref="A373:C373"/>
    <mergeCell ref="A81:C81"/>
    <mergeCell ref="A323:C323"/>
    <mergeCell ref="E32:G32"/>
    <mergeCell ref="E159:G159"/>
    <mergeCell ref="E134:G134"/>
    <mergeCell ref="E97:G97"/>
    <mergeCell ref="A170:C170"/>
    <mergeCell ref="E268:G268"/>
    <mergeCell ref="E330:G330"/>
    <mergeCell ref="A289:C289"/>
    <mergeCell ref="E109:G109"/>
    <mergeCell ref="E47:G47"/>
    <mergeCell ref="E96:G96"/>
    <mergeCell ref="E145:G145"/>
    <mergeCell ref="E139:G139"/>
    <mergeCell ref="E332:G332"/>
    <mergeCell ref="A226:C226"/>
    <mergeCell ref="A201:C201"/>
    <mergeCell ref="E111:G111"/>
    <mergeCell ref="E98:G98"/>
    <mergeCell ref="E203:G203"/>
    <mergeCell ref="A241:C241"/>
    <mergeCell ref="A228:C228"/>
    <mergeCell ref="E140:G140"/>
    <mergeCell ref="A7:C7"/>
    <mergeCell ref="A172:C172"/>
    <mergeCell ref="A305:C305"/>
    <mergeCell ref="A243:C243"/>
    <mergeCell ref="E63:G63"/>
    <mergeCell ref="A25:C25"/>
    <mergeCell ref="A99:C99"/>
    <mergeCell ref="A221:C221"/>
    <mergeCell ref="A292:C292"/>
    <mergeCell ref="A286:C286"/>
    <mergeCell ref="E221:G221"/>
    <mergeCell ref="A236:C236"/>
    <mergeCell ref="A163:C163"/>
    <mergeCell ref="A101:C101"/>
    <mergeCell ref="A223:C223"/>
    <mergeCell ref="A294:C294"/>
    <mergeCell ref="A2:C2"/>
    <mergeCell ref="E350:G350"/>
    <mergeCell ref="E2:G2"/>
    <mergeCell ref="E300:G300"/>
    <mergeCell ref="E45:G45"/>
    <mergeCell ref="E216:G216"/>
    <mergeCell ref="E116:G116"/>
    <mergeCell ref="A254:C254"/>
    <mergeCell ref="E287:G287"/>
    <mergeCell ref="E281:G281"/>
    <mergeCell ref="A20:C20"/>
    <mergeCell ref="A125:C125"/>
    <mergeCell ref="E218:G218"/>
    <mergeCell ref="A318:C318"/>
    <mergeCell ref="E345:G345"/>
    <mergeCell ref="A112:C112"/>
    <mergeCell ref="E22:G22"/>
    <mergeCell ref="E193:G193"/>
    <mergeCell ref="E264:G264"/>
    <mergeCell ref="A348:C348"/>
    <mergeCell ref="A127:C127"/>
    <mergeCell ref="E282:G282"/>
    <mergeCell ref="A320:C320"/>
    <mergeCell ref="A176:C176"/>
    <mergeCell ref="A314:C314"/>
    <mergeCell ref="A114:C114"/>
    <mergeCell ref="A347:C347"/>
    <mergeCell ref="E122:G122"/>
    <mergeCell ref="A64:C64"/>
    <mergeCell ref="A191:C191"/>
    <mergeCell ref="A107:C107"/>
    <mergeCell ref="E142:G142"/>
    <mergeCell ref="A178:C178"/>
    <mergeCell ref="E234:G234"/>
    <mergeCell ref="E209:G209"/>
    <mergeCell ref="E147:G147"/>
    <mergeCell ref="E236:G236"/>
    <mergeCell ref="E211:G211"/>
    <mergeCell ref="E229:G229"/>
    <mergeCell ref="A267:C267"/>
    <mergeCell ref="E148:G148"/>
    <mergeCell ref="A242:C242"/>
    <mergeCell ref="E275:G275"/>
    <mergeCell ref="E335:G335"/>
    <mergeCell ref="A33:C33"/>
    <mergeCell ref="A269:C269"/>
    <mergeCell ref="A8:C8"/>
    <mergeCell ref="A244:C244"/>
    <mergeCell ref="A100:C100"/>
    <mergeCell ref="A342:C342"/>
    <mergeCell ref="A231:C231"/>
    <mergeCell ref="A35:C35"/>
    <mergeCell ref="A336:C336"/>
    <mergeCell ref="A333:C333"/>
    <mergeCell ref="A10:C10"/>
    <mergeCell ref="A115:C115"/>
    <mergeCell ref="A308:C308"/>
    <mergeCell ref="E66:G66"/>
    <mergeCell ref="A102:C102"/>
    <mergeCell ref="A344:C344"/>
    <mergeCell ref="E53:G53"/>
    <mergeCell ref="E351:G351"/>
    <mergeCell ref="A245:C245"/>
    <mergeCell ref="E289:G289"/>
    <mergeCell ref="E3:G3"/>
    <mergeCell ref="A39:C39"/>
    <mergeCell ref="A310:C310"/>
    <mergeCell ref="E130:G130"/>
    <mergeCell ref="A166:C166"/>
    <mergeCell ref="E68:G68"/>
    <mergeCell ref="A337:C337"/>
    <mergeCell ref="E117:G117"/>
    <mergeCell ref="E55:G55"/>
    <mergeCell ref="E160:G160"/>
    <mergeCell ref="E353:G353"/>
    <mergeCell ref="E67:G67"/>
    <mergeCell ref="A103:C103"/>
    <mergeCell ref="E5:G5"/>
    <mergeCell ref="E132:G132"/>
    <mergeCell ref="A168:C168"/>
    <mergeCell ref="E303:G303"/>
    <mergeCell ref="A339:C339"/>
    <mergeCell ref="E48:G48"/>
    <mergeCell ref="E290:G290"/>
    <mergeCell ref="E224:G224"/>
  </mergeCells>
  <pageMargins left="0.4" right="0.4" top="0.4" bottom="0.4" header="0.5" footer="0.5"/>
  <pageSetup orientation="portrait" paperSize="1" fitToHeight="0" fitToWidth="1"/>
  <rowBreaks count="10" manualBreakCount="10">
    <brk id="35" min="0" max="16383" man="1"/>
    <brk id="70" min="0" max="16383" man="1"/>
    <brk id="105" min="0" max="16383" man="1"/>
    <brk id="140" min="0" max="16383" man="1"/>
    <brk id="175" min="0" max="16383" man="1"/>
    <brk id="210" min="0" max="16383" man="1"/>
    <brk id="245" min="0" max="16383" man="1"/>
    <brk id="280" min="0" max="16383" man="1"/>
    <brk id="315" min="0" max="16383" man="1"/>
    <brk id="350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>
        <f>IF(Settings!B2="","",IMPORTRANGE(Settings!B2,"Summary!A1:I151"))</f>
        <v/>
      </c>
      <c r="K1" s="7" t="inlineStr">
        <is>
          <t>The class sheet's Summary, copied in here (read only). Allow access on A1 the first time.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8" t="inlineStr">
        <is>
          <t>Name</t>
        </is>
      </c>
      <c r="B1" s="8" t="inlineStr">
        <is>
          <t>Period</t>
        </is>
      </c>
      <c r="C1" s="8" t="inlineStr">
        <is>
          <t>Student number</t>
        </is>
      </c>
      <c r="D1" s="8" t="inlineStr">
        <is>
          <t>Levels done</t>
        </is>
      </c>
      <c r="E1" s="8" t="inlineStr">
        <is>
          <t>Problems tried</t>
        </is>
      </c>
      <c r="F1" s="8" t="inlineStr">
        <is>
          <t>Clean %</t>
        </is>
      </c>
      <c r="G1" s="8" t="inlineStr">
        <is>
          <t>Stuck presses</t>
        </is>
      </c>
      <c r="H1" s="8" t="inlineStr">
        <is>
          <t>Fluency runs</t>
        </is>
      </c>
    </row>
    <row r="2">
      <c r="A2" s="9">
        <f>IF(Roster!A2="","",Roster!A2)</f>
        <v/>
      </c>
      <c r="B2" s="9">
        <f>IF($A2="","",Roster!B2)</f>
        <v/>
      </c>
      <c r="C2" s="9">
        <f>IF($A2="","",Roster!C2)</f>
        <v/>
      </c>
      <c r="D2" s="9">
        <f>IF($A2="","",IFERROR(SUMIFS(Imported!$D$2:$D$151,Imported!$B$2:$B$151,$B2&amp;"",Imported!$C$2:$C$151,$C2&amp;""),0))</f>
        <v/>
      </c>
      <c r="E2" s="9">
        <f>IF($A2="","",IFERROR(SUMIFS(Imported!$E$2:$E$151,Imported!$B$2:$B$151,$B2&amp;"",Imported!$C$2:$C$151,$C2&amp;""),0))</f>
        <v/>
      </c>
      <c r="F2" s="15">
        <f>IF($A2="","",IFERROR(SUMIFS(Imported!$F$2:$F$151,Imported!$B$2:$B$151,$B2&amp;"",Imported!$C$2:$C$151,$C2&amp;""),0))</f>
        <v/>
      </c>
      <c r="G2" s="9">
        <f>IF($A2="","",IFERROR(SUMIFS(Imported!$G$2:$G$151,Imported!$B$2:$B$151,$B2&amp;"",Imported!$C$2:$C$151,$C2&amp;""),0))</f>
        <v/>
      </c>
      <c r="H2" s="9">
        <f>IF($A2="","",IFERROR(SUMIFS(Imported!$H$2:$H$151,Imported!$B$2:$B$151,$B2&amp;"",Imported!$C$2:$C$151,$C2&amp;""),0))</f>
        <v/>
      </c>
    </row>
    <row r="3">
      <c r="A3" s="9">
        <f>IF(Roster!A3="","",Roster!A3)</f>
        <v/>
      </c>
      <c r="B3" s="9">
        <f>IF($A3="","",Roster!B3)</f>
        <v/>
      </c>
      <c r="C3" s="9">
        <f>IF($A3="","",Roster!C3)</f>
        <v/>
      </c>
      <c r="D3" s="9">
        <f>IF($A3="","",IFERROR(SUMIFS(Imported!$D$2:$D$151,Imported!$B$2:$B$151,$B3&amp;"",Imported!$C$2:$C$151,$C3&amp;""),0))</f>
        <v/>
      </c>
      <c r="E3" s="9">
        <f>IF($A3="","",IFERROR(SUMIFS(Imported!$E$2:$E$151,Imported!$B$2:$B$151,$B3&amp;"",Imported!$C$2:$C$151,$C3&amp;""),0))</f>
        <v/>
      </c>
      <c r="F3" s="15">
        <f>IF($A3="","",IFERROR(SUMIFS(Imported!$F$2:$F$151,Imported!$B$2:$B$151,$B3&amp;"",Imported!$C$2:$C$151,$C3&amp;""),0))</f>
        <v/>
      </c>
      <c r="G3" s="9">
        <f>IF($A3="","",IFERROR(SUMIFS(Imported!$G$2:$G$151,Imported!$B$2:$B$151,$B3&amp;"",Imported!$C$2:$C$151,$C3&amp;""),0))</f>
        <v/>
      </c>
      <c r="H3" s="9">
        <f>IF($A3="","",IFERROR(SUMIFS(Imported!$H$2:$H$151,Imported!$B$2:$B$151,$B3&amp;"",Imported!$C$2:$C$151,$C3&amp;""),0))</f>
        <v/>
      </c>
    </row>
    <row r="4">
      <c r="A4" s="9">
        <f>IF(Roster!A4="","",Roster!A4)</f>
        <v/>
      </c>
      <c r="B4" s="9">
        <f>IF($A4="","",Roster!B4)</f>
        <v/>
      </c>
      <c r="C4" s="9">
        <f>IF($A4="","",Roster!C4)</f>
        <v/>
      </c>
      <c r="D4" s="9">
        <f>IF($A4="","",IFERROR(SUMIFS(Imported!$D$2:$D$151,Imported!$B$2:$B$151,$B4&amp;"",Imported!$C$2:$C$151,$C4&amp;""),0))</f>
        <v/>
      </c>
      <c r="E4" s="9">
        <f>IF($A4="","",IFERROR(SUMIFS(Imported!$E$2:$E$151,Imported!$B$2:$B$151,$B4&amp;"",Imported!$C$2:$C$151,$C4&amp;""),0))</f>
        <v/>
      </c>
      <c r="F4" s="15">
        <f>IF($A4="","",IFERROR(SUMIFS(Imported!$F$2:$F$151,Imported!$B$2:$B$151,$B4&amp;"",Imported!$C$2:$C$151,$C4&amp;""),0))</f>
        <v/>
      </c>
      <c r="G4" s="9">
        <f>IF($A4="","",IFERROR(SUMIFS(Imported!$G$2:$G$151,Imported!$B$2:$B$151,$B4&amp;"",Imported!$C$2:$C$151,$C4&amp;""),0))</f>
        <v/>
      </c>
      <c r="H4" s="9">
        <f>IF($A4="","",IFERROR(SUMIFS(Imported!$H$2:$H$151,Imported!$B$2:$B$151,$B4&amp;"",Imported!$C$2:$C$151,$C4&amp;""),0))</f>
        <v/>
      </c>
    </row>
    <row r="5">
      <c r="A5" s="9">
        <f>IF(Roster!A5="","",Roster!A5)</f>
        <v/>
      </c>
      <c r="B5" s="9">
        <f>IF($A5="","",Roster!B5)</f>
        <v/>
      </c>
      <c r="C5" s="9">
        <f>IF($A5="","",Roster!C5)</f>
        <v/>
      </c>
      <c r="D5" s="9">
        <f>IF($A5="","",IFERROR(SUMIFS(Imported!$D$2:$D$151,Imported!$B$2:$B$151,$B5&amp;"",Imported!$C$2:$C$151,$C5&amp;""),0))</f>
        <v/>
      </c>
      <c r="E5" s="9">
        <f>IF($A5="","",IFERROR(SUMIFS(Imported!$E$2:$E$151,Imported!$B$2:$B$151,$B5&amp;"",Imported!$C$2:$C$151,$C5&amp;""),0))</f>
        <v/>
      </c>
      <c r="F5" s="15">
        <f>IF($A5="","",IFERROR(SUMIFS(Imported!$F$2:$F$151,Imported!$B$2:$B$151,$B5&amp;"",Imported!$C$2:$C$151,$C5&amp;""),0))</f>
        <v/>
      </c>
      <c r="G5" s="9">
        <f>IF($A5="","",IFERROR(SUMIFS(Imported!$G$2:$G$151,Imported!$B$2:$B$151,$B5&amp;"",Imported!$C$2:$C$151,$C5&amp;""),0))</f>
        <v/>
      </c>
      <c r="H5" s="9">
        <f>IF($A5="","",IFERROR(SUMIFS(Imported!$H$2:$H$151,Imported!$B$2:$B$151,$B5&amp;"",Imported!$C$2:$C$151,$C5&amp;""),0))</f>
        <v/>
      </c>
    </row>
    <row r="6">
      <c r="A6" s="9">
        <f>IF(Roster!A6="","",Roster!A6)</f>
        <v/>
      </c>
      <c r="B6" s="9">
        <f>IF($A6="","",Roster!B6)</f>
        <v/>
      </c>
      <c r="C6" s="9">
        <f>IF($A6="","",Roster!C6)</f>
        <v/>
      </c>
      <c r="D6" s="9">
        <f>IF($A6="","",IFERROR(SUMIFS(Imported!$D$2:$D$151,Imported!$B$2:$B$151,$B6&amp;"",Imported!$C$2:$C$151,$C6&amp;""),0))</f>
        <v/>
      </c>
      <c r="E6" s="9">
        <f>IF($A6="","",IFERROR(SUMIFS(Imported!$E$2:$E$151,Imported!$B$2:$B$151,$B6&amp;"",Imported!$C$2:$C$151,$C6&amp;""),0))</f>
        <v/>
      </c>
      <c r="F6" s="15">
        <f>IF($A6="","",IFERROR(SUMIFS(Imported!$F$2:$F$151,Imported!$B$2:$B$151,$B6&amp;"",Imported!$C$2:$C$151,$C6&amp;""),0))</f>
        <v/>
      </c>
      <c r="G6" s="9">
        <f>IF($A6="","",IFERROR(SUMIFS(Imported!$G$2:$G$151,Imported!$B$2:$B$151,$B6&amp;"",Imported!$C$2:$C$151,$C6&amp;""),0))</f>
        <v/>
      </c>
      <c r="H6" s="9">
        <f>IF($A6="","",IFERROR(SUMIFS(Imported!$H$2:$H$151,Imported!$B$2:$B$151,$B6&amp;"",Imported!$C$2:$C$151,$C6&amp;""),0))</f>
        <v/>
      </c>
    </row>
    <row r="7">
      <c r="A7" s="9">
        <f>IF(Roster!A7="","",Roster!A7)</f>
        <v/>
      </c>
      <c r="B7" s="9">
        <f>IF($A7="","",Roster!B7)</f>
        <v/>
      </c>
      <c r="C7" s="9">
        <f>IF($A7="","",Roster!C7)</f>
        <v/>
      </c>
      <c r="D7" s="9">
        <f>IF($A7="","",IFERROR(SUMIFS(Imported!$D$2:$D$151,Imported!$B$2:$B$151,$B7&amp;"",Imported!$C$2:$C$151,$C7&amp;""),0))</f>
        <v/>
      </c>
      <c r="E7" s="9">
        <f>IF($A7="","",IFERROR(SUMIFS(Imported!$E$2:$E$151,Imported!$B$2:$B$151,$B7&amp;"",Imported!$C$2:$C$151,$C7&amp;""),0))</f>
        <v/>
      </c>
      <c r="F7" s="15">
        <f>IF($A7="","",IFERROR(SUMIFS(Imported!$F$2:$F$151,Imported!$B$2:$B$151,$B7&amp;"",Imported!$C$2:$C$151,$C7&amp;""),0))</f>
        <v/>
      </c>
      <c r="G7" s="9">
        <f>IF($A7="","",IFERROR(SUMIFS(Imported!$G$2:$G$151,Imported!$B$2:$B$151,$B7&amp;"",Imported!$C$2:$C$151,$C7&amp;""),0))</f>
        <v/>
      </c>
      <c r="H7" s="9">
        <f>IF($A7="","",IFERROR(SUMIFS(Imported!$H$2:$H$151,Imported!$B$2:$B$151,$B7&amp;"",Imported!$C$2:$C$151,$C7&amp;""),0))</f>
        <v/>
      </c>
    </row>
    <row r="8">
      <c r="A8" s="9">
        <f>IF(Roster!A8="","",Roster!A8)</f>
        <v/>
      </c>
      <c r="B8" s="9">
        <f>IF($A8="","",Roster!B8)</f>
        <v/>
      </c>
      <c r="C8" s="9">
        <f>IF($A8="","",Roster!C8)</f>
        <v/>
      </c>
      <c r="D8" s="9">
        <f>IF($A8="","",IFERROR(SUMIFS(Imported!$D$2:$D$151,Imported!$B$2:$B$151,$B8&amp;"",Imported!$C$2:$C$151,$C8&amp;""),0))</f>
        <v/>
      </c>
      <c r="E8" s="9">
        <f>IF($A8="","",IFERROR(SUMIFS(Imported!$E$2:$E$151,Imported!$B$2:$B$151,$B8&amp;"",Imported!$C$2:$C$151,$C8&amp;""),0))</f>
        <v/>
      </c>
      <c r="F8" s="15">
        <f>IF($A8="","",IFERROR(SUMIFS(Imported!$F$2:$F$151,Imported!$B$2:$B$151,$B8&amp;"",Imported!$C$2:$C$151,$C8&amp;""),0))</f>
        <v/>
      </c>
      <c r="G8" s="9">
        <f>IF($A8="","",IFERROR(SUMIFS(Imported!$G$2:$G$151,Imported!$B$2:$B$151,$B8&amp;"",Imported!$C$2:$C$151,$C8&amp;""),0))</f>
        <v/>
      </c>
      <c r="H8" s="9">
        <f>IF($A8="","",IFERROR(SUMIFS(Imported!$H$2:$H$151,Imported!$B$2:$B$151,$B8&amp;"",Imported!$C$2:$C$151,$C8&amp;""),0))</f>
        <v/>
      </c>
    </row>
    <row r="9">
      <c r="A9" s="9">
        <f>IF(Roster!A9="","",Roster!A9)</f>
        <v/>
      </c>
      <c r="B9" s="9">
        <f>IF($A9="","",Roster!B9)</f>
        <v/>
      </c>
      <c r="C9" s="9">
        <f>IF($A9="","",Roster!C9)</f>
        <v/>
      </c>
      <c r="D9" s="9">
        <f>IF($A9="","",IFERROR(SUMIFS(Imported!$D$2:$D$151,Imported!$B$2:$B$151,$B9&amp;"",Imported!$C$2:$C$151,$C9&amp;""),0))</f>
        <v/>
      </c>
      <c r="E9" s="9">
        <f>IF($A9="","",IFERROR(SUMIFS(Imported!$E$2:$E$151,Imported!$B$2:$B$151,$B9&amp;"",Imported!$C$2:$C$151,$C9&amp;""),0))</f>
        <v/>
      </c>
      <c r="F9" s="15">
        <f>IF($A9="","",IFERROR(SUMIFS(Imported!$F$2:$F$151,Imported!$B$2:$B$151,$B9&amp;"",Imported!$C$2:$C$151,$C9&amp;""),0))</f>
        <v/>
      </c>
      <c r="G9" s="9">
        <f>IF($A9="","",IFERROR(SUMIFS(Imported!$G$2:$G$151,Imported!$B$2:$B$151,$B9&amp;"",Imported!$C$2:$C$151,$C9&amp;""),0))</f>
        <v/>
      </c>
      <c r="H9" s="9">
        <f>IF($A9="","",IFERROR(SUMIFS(Imported!$H$2:$H$151,Imported!$B$2:$B$151,$B9&amp;"",Imported!$C$2:$C$151,$C9&amp;""),0))</f>
        <v/>
      </c>
    </row>
    <row r="10">
      <c r="A10" s="9">
        <f>IF(Roster!A10="","",Roster!A10)</f>
        <v/>
      </c>
      <c r="B10" s="9">
        <f>IF($A10="","",Roster!B10)</f>
        <v/>
      </c>
      <c r="C10" s="9">
        <f>IF($A10="","",Roster!C10)</f>
        <v/>
      </c>
      <c r="D10" s="9">
        <f>IF($A10="","",IFERROR(SUMIFS(Imported!$D$2:$D$151,Imported!$B$2:$B$151,$B10&amp;"",Imported!$C$2:$C$151,$C10&amp;""),0))</f>
        <v/>
      </c>
      <c r="E10" s="9">
        <f>IF($A10="","",IFERROR(SUMIFS(Imported!$E$2:$E$151,Imported!$B$2:$B$151,$B10&amp;"",Imported!$C$2:$C$151,$C10&amp;""),0))</f>
        <v/>
      </c>
      <c r="F10" s="15">
        <f>IF($A10="","",IFERROR(SUMIFS(Imported!$F$2:$F$151,Imported!$B$2:$B$151,$B10&amp;"",Imported!$C$2:$C$151,$C10&amp;""),0))</f>
        <v/>
      </c>
      <c r="G10" s="9">
        <f>IF($A10="","",IFERROR(SUMIFS(Imported!$G$2:$G$151,Imported!$B$2:$B$151,$B10&amp;"",Imported!$C$2:$C$151,$C10&amp;""),0))</f>
        <v/>
      </c>
      <c r="H10" s="9">
        <f>IF($A10="","",IFERROR(SUMIFS(Imported!$H$2:$H$151,Imported!$B$2:$B$151,$B10&amp;"",Imported!$C$2:$C$151,$C10&amp;""),0))</f>
        <v/>
      </c>
    </row>
    <row r="11">
      <c r="A11" s="9">
        <f>IF(Roster!A11="","",Roster!A11)</f>
        <v/>
      </c>
      <c r="B11" s="9">
        <f>IF($A11="","",Roster!B11)</f>
        <v/>
      </c>
      <c r="C11" s="9">
        <f>IF($A11="","",Roster!C11)</f>
        <v/>
      </c>
      <c r="D11" s="9">
        <f>IF($A11="","",IFERROR(SUMIFS(Imported!$D$2:$D$151,Imported!$B$2:$B$151,$B11&amp;"",Imported!$C$2:$C$151,$C11&amp;""),0))</f>
        <v/>
      </c>
      <c r="E11" s="9">
        <f>IF($A11="","",IFERROR(SUMIFS(Imported!$E$2:$E$151,Imported!$B$2:$B$151,$B11&amp;"",Imported!$C$2:$C$151,$C11&amp;""),0))</f>
        <v/>
      </c>
      <c r="F11" s="15">
        <f>IF($A11="","",IFERROR(SUMIFS(Imported!$F$2:$F$151,Imported!$B$2:$B$151,$B11&amp;"",Imported!$C$2:$C$151,$C11&amp;""),0))</f>
        <v/>
      </c>
      <c r="G11" s="9">
        <f>IF($A11="","",IFERROR(SUMIFS(Imported!$G$2:$G$151,Imported!$B$2:$B$151,$B11&amp;"",Imported!$C$2:$C$151,$C11&amp;""),0))</f>
        <v/>
      </c>
      <c r="H11" s="9">
        <f>IF($A11="","",IFERROR(SUMIFS(Imported!$H$2:$H$151,Imported!$B$2:$B$151,$B11&amp;"",Imported!$C$2:$C$151,$C11&amp;""),0))</f>
        <v/>
      </c>
    </row>
    <row r="12">
      <c r="A12" s="9">
        <f>IF(Roster!A12="","",Roster!A12)</f>
        <v/>
      </c>
      <c r="B12" s="9">
        <f>IF($A12="","",Roster!B12)</f>
        <v/>
      </c>
      <c r="C12" s="9">
        <f>IF($A12="","",Roster!C12)</f>
        <v/>
      </c>
      <c r="D12" s="9">
        <f>IF($A12="","",IFERROR(SUMIFS(Imported!$D$2:$D$151,Imported!$B$2:$B$151,$B12&amp;"",Imported!$C$2:$C$151,$C12&amp;""),0))</f>
        <v/>
      </c>
      <c r="E12" s="9">
        <f>IF($A12="","",IFERROR(SUMIFS(Imported!$E$2:$E$151,Imported!$B$2:$B$151,$B12&amp;"",Imported!$C$2:$C$151,$C12&amp;""),0))</f>
        <v/>
      </c>
      <c r="F12" s="15">
        <f>IF($A12="","",IFERROR(SUMIFS(Imported!$F$2:$F$151,Imported!$B$2:$B$151,$B12&amp;"",Imported!$C$2:$C$151,$C12&amp;""),0))</f>
        <v/>
      </c>
      <c r="G12" s="9">
        <f>IF($A12="","",IFERROR(SUMIFS(Imported!$G$2:$G$151,Imported!$B$2:$B$151,$B12&amp;"",Imported!$C$2:$C$151,$C12&amp;""),0))</f>
        <v/>
      </c>
      <c r="H12" s="9">
        <f>IF($A12="","",IFERROR(SUMIFS(Imported!$H$2:$H$151,Imported!$B$2:$B$151,$B12&amp;"",Imported!$C$2:$C$151,$C12&amp;""),0))</f>
        <v/>
      </c>
    </row>
    <row r="13">
      <c r="A13" s="9">
        <f>IF(Roster!A13="","",Roster!A13)</f>
        <v/>
      </c>
      <c r="B13" s="9">
        <f>IF($A13="","",Roster!B13)</f>
        <v/>
      </c>
      <c r="C13" s="9">
        <f>IF($A13="","",Roster!C13)</f>
        <v/>
      </c>
      <c r="D13" s="9">
        <f>IF($A13="","",IFERROR(SUMIFS(Imported!$D$2:$D$151,Imported!$B$2:$B$151,$B13&amp;"",Imported!$C$2:$C$151,$C13&amp;""),0))</f>
        <v/>
      </c>
      <c r="E13" s="9">
        <f>IF($A13="","",IFERROR(SUMIFS(Imported!$E$2:$E$151,Imported!$B$2:$B$151,$B13&amp;"",Imported!$C$2:$C$151,$C13&amp;""),0))</f>
        <v/>
      </c>
      <c r="F13" s="15">
        <f>IF($A13="","",IFERROR(SUMIFS(Imported!$F$2:$F$151,Imported!$B$2:$B$151,$B13&amp;"",Imported!$C$2:$C$151,$C13&amp;""),0))</f>
        <v/>
      </c>
      <c r="G13" s="9">
        <f>IF($A13="","",IFERROR(SUMIFS(Imported!$G$2:$G$151,Imported!$B$2:$B$151,$B13&amp;"",Imported!$C$2:$C$151,$C13&amp;""),0))</f>
        <v/>
      </c>
      <c r="H13" s="9">
        <f>IF($A13="","",IFERROR(SUMIFS(Imported!$H$2:$H$151,Imported!$B$2:$B$151,$B13&amp;"",Imported!$C$2:$C$151,$C13&amp;""),0))</f>
        <v/>
      </c>
    </row>
    <row r="14">
      <c r="A14" s="9">
        <f>IF(Roster!A14="","",Roster!A14)</f>
        <v/>
      </c>
      <c r="B14" s="9">
        <f>IF($A14="","",Roster!B14)</f>
        <v/>
      </c>
      <c r="C14" s="9">
        <f>IF($A14="","",Roster!C14)</f>
        <v/>
      </c>
      <c r="D14" s="9">
        <f>IF($A14="","",IFERROR(SUMIFS(Imported!$D$2:$D$151,Imported!$B$2:$B$151,$B14&amp;"",Imported!$C$2:$C$151,$C14&amp;""),0))</f>
        <v/>
      </c>
      <c r="E14" s="9">
        <f>IF($A14="","",IFERROR(SUMIFS(Imported!$E$2:$E$151,Imported!$B$2:$B$151,$B14&amp;"",Imported!$C$2:$C$151,$C14&amp;""),0))</f>
        <v/>
      </c>
      <c r="F14" s="15">
        <f>IF($A14="","",IFERROR(SUMIFS(Imported!$F$2:$F$151,Imported!$B$2:$B$151,$B14&amp;"",Imported!$C$2:$C$151,$C14&amp;""),0))</f>
        <v/>
      </c>
      <c r="G14" s="9">
        <f>IF($A14="","",IFERROR(SUMIFS(Imported!$G$2:$G$151,Imported!$B$2:$B$151,$B14&amp;"",Imported!$C$2:$C$151,$C14&amp;""),0))</f>
        <v/>
      </c>
      <c r="H14" s="9">
        <f>IF($A14="","",IFERROR(SUMIFS(Imported!$H$2:$H$151,Imported!$B$2:$B$151,$B14&amp;"",Imported!$C$2:$C$151,$C14&amp;""),0))</f>
        <v/>
      </c>
    </row>
    <row r="15">
      <c r="A15" s="9">
        <f>IF(Roster!A15="","",Roster!A15)</f>
        <v/>
      </c>
      <c r="B15" s="9">
        <f>IF($A15="","",Roster!B15)</f>
        <v/>
      </c>
      <c r="C15" s="9">
        <f>IF($A15="","",Roster!C15)</f>
        <v/>
      </c>
      <c r="D15" s="9">
        <f>IF($A15="","",IFERROR(SUMIFS(Imported!$D$2:$D$151,Imported!$B$2:$B$151,$B15&amp;"",Imported!$C$2:$C$151,$C15&amp;""),0))</f>
        <v/>
      </c>
      <c r="E15" s="9">
        <f>IF($A15="","",IFERROR(SUMIFS(Imported!$E$2:$E$151,Imported!$B$2:$B$151,$B15&amp;"",Imported!$C$2:$C$151,$C15&amp;""),0))</f>
        <v/>
      </c>
      <c r="F15" s="15">
        <f>IF($A15="","",IFERROR(SUMIFS(Imported!$F$2:$F$151,Imported!$B$2:$B$151,$B15&amp;"",Imported!$C$2:$C$151,$C15&amp;""),0))</f>
        <v/>
      </c>
      <c r="G15" s="9">
        <f>IF($A15="","",IFERROR(SUMIFS(Imported!$G$2:$G$151,Imported!$B$2:$B$151,$B15&amp;"",Imported!$C$2:$C$151,$C15&amp;""),0))</f>
        <v/>
      </c>
      <c r="H15" s="9">
        <f>IF($A15="","",IFERROR(SUMIFS(Imported!$H$2:$H$151,Imported!$B$2:$B$151,$B15&amp;"",Imported!$C$2:$C$151,$C15&amp;""),0))</f>
        <v/>
      </c>
    </row>
    <row r="16">
      <c r="A16" s="9">
        <f>IF(Roster!A16="","",Roster!A16)</f>
        <v/>
      </c>
      <c r="B16" s="9">
        <f>IF($A16="","",Roster!B16)</f>
        <v/>
      </c>
      <c r="C16" s="9">
        <f>IF($A16="","",Roster!C16)</f>
        <v/>
      </c>
      <c r="D16" s="9">
        <f>IF($A16="","",IFERROR(SUMIFS(Imported!$D$2:$D$151,Imported!$B$2:$B$151,$B16&amp;"",Imported!$C$2:$C$151,$C16&amp;""),0))</f>
        <v/>
      </c>
      <c r="E16" s="9">
        <f>IF($A16="","",IFERROR(SUMIFS(Imported!$E$2:$E$151,Imported!$B$2:$B$151,$B16&amp;"",Imported!$C$2:$C$151,$C16&amp;""),0))</f>
        <v/>
      </c>
      <c r="F16" s="15">
        <f>IF($A16="","",IFERROR(SUMIFS(Imported!$F$2:$F$151,Imported!$B$2:$B$151,$B16&amp;"",Imported!$C$2:$C$151,$C16&amp;""),0))</f>
        <v/>
      </c>
      <c r="G16" s="9">
        <f>IF($A16="","",IFERROR(SUMIFS(Imported!$G$2:$G$151,Imported!$B$2:$B$151,$B16&amp;"",Imported!$C$2:$C$151,$C16&amp;""),0))</f>
        <v/>
      </c>
      <c r="H16" s="9">
        <f>IF($A16="","",IFERROR(SUMIFS(Imported!$H$2:$H$151,Imported!$B$2:$B$151,$B16&amp;"",Imported!$C$2:$C$151,$C16&amp;""),0))</f>
        <v/>
      </c>
    </row>
    <row r="17">
      <c r="A17" s="9">
        <f>IF(Roster!A17="","",Roster!A17)</f>
        <v/>
      </c>
      <c r="B17" s="9">
        <f>IF($A17="","",Roster!B17)</f>
        <v/>
      </c>
      <c r="C17" s="9">
        <f>IF($A17="","",Roster!C17)</f>
        <v/>
      </c>
      <c r="D17" s="9">
        <f>IF($A17="","",IFERROR(SUMIFS(Imported!$D$2:$D$151,Imported!$B$2:$B$151,$B17&amp;"",Imported!$C$2:$C$151,$C17&amp;""),0))</f>
        <v/>
      </c>
      <c r="E17" s="9">
        <f>IF($A17="","",IFERROR(SUMIFS(Imported!$E$2:$E$151,Imported!$B$2:$B$151,$B17&amp;"",Imported!$C$2:$C$151,$C17&amp;""),0))</f>
        <v/>
      </c>
      <c r="F17" s="15">
        <f>IF($A17="","",IFERROR(SUMIFS(Imported!$F$2:$F$151,Imported!$B$2:$B$151,$B17&amp;"",Imported!$C$2:$C$151,$C17&amp;""),0))</f>
        <v/>
      </c>
      <c r="G17" s="9">
        <f>IF($A17="","",IFERROR(SUMIFS(Imported!$G$2:$G$151,Imported!$B$2:$B$151,$B17&amp;"",Imported!$C$2:$C$151,$C17&amp;""),0))</f>
        <v/>
      </c>
      <c r="H17" s="9">
        <f>IF($A17="","",IFERROR(SUMIFS(Imported!$H$2:$H$151,Imported!$B$2:$B$151,$B17&amp;"",Imported!$C$2:$C$151,$C17&amp;""),0))</f>
        <v/>
      </c>
    </row>
    <row r="18">
      <c r="A18" s="9">
        <f>IF(Roster!A18="","",Roster!A18)</f>
        <v/>
      </c>
      <c r="B18" s="9">
        <f>IF($A18="","",Roster!B18)</f>
        <v/>
      </c>
      <c r="C18" s="9">
        <f>IF($A18="","",Roster!C18)</f>
        <v/>
      </c>
      <c r="D18" s="9">
        <f>IF($A18="","",IFERROR(SUMIFS(Imported!$D$2:$D$151,Imported!$B$2:$B$151,$B18&amp;"",Imported!$C$2:$C$151,$C18&amp;""),0))</f>
        <v/>
      </c>
      <c r="E18" s="9">
        <f>IF($A18="","",IFERROR(SUMIFS(Imported!$E$2:$E$151,Imported!$B$2:$B$151,$B18&amp;"",Imported!$C$2:$C$151,$C18&amp;""),0))</f>
        <v/>
      </c>
      <c r="F18" s="15">
        <f>IF($A18="","",IFERROR(SUMIFS(Imported!$F$2:$F$151,Imported!$B$2:$B$151,$B18&amp;"",Imported!$C$2:$C$151,$C18&amp;""),0))</f>
        <v/>
      </c>
      <c r="G18" s="9">
        <f>IF($A18="","",IFERROR(SUMIFS(Imported!$G$2:$G$151,Imported!$B$2:$B$151,$B18&amp;"",Imported!$C$2:$C$151,$C18&amp;""),0))</f>
        <v/>
      </c>
      <c r="H18" s="9">
        <f>IF($A18="","",IFERROR(SUMIFS(Imported!$H$2:$H$151,Imported!$B$2:$B$151,$B18&amp;"",Imported!$C$2:$C$151,$C18&amp;""),0))</f>
        <v/>
      </c>
    </row>
    <row r="19">
      <c r="A19" s="9">
        <f>IF(Roster!A19="","",Roster!A19)</f>
        <v/>
      </c>
      <c r="B19" s="9">
        <f>IF($A19="","",Roster!B19)</f>
        <v/>
      </c>
      <c r="C19" s="9">
        <f>IF($A19="","",Roster!C19)</f>
        <v/>
      </c>
      <c r="D19" s="9">
        <f>IF($A19="","",IFERROR(SUMIFS(Imported!$D$2:$D$151,Imported!$B$2:$B$151,$B19&amp;"",Imported!$C$2:$C$151,$C19&amp;""),0))</f>
        <v/>
      </c>
      <c r="E19" s="9">
        <f>IF($A19="","",IFERROR(SUMIFS(Imported!$E$2:$E$151,Imported!$B$2:$B$151,$B19&amp;"",Imported!$C$2:$C$151,$C19&amp;""),0))</f>
        <v/>
      </c>
      <c r="F19" s="15">
        <f>IF($A19="","",IFERROR(SUMIFS(Imported!$F$2:$F$151,Imported!$B$2:$B$151,$B19&amp;"",Imported!$C$2:$C$151,$C19&amp;""),0))</f>
        <v/>
      </c>
      <c r="G19" s="9">
        <f>IF($A19="","",IFERROR(SUMIFS(Imported!$G$2:$G$151,Imported!$B$2:$B$151,$B19&amp;"",Imported!$C$2:$C$151,$C19&amp;""),0))</f>
        <v/>
      </c>
      <c r="H19" s="9">
        <f>IF($A19="","",IFERROR(SUMIFS(Imported!$H$2:$H$151,Imported!$B$2:$B$151,$B19&amp;"",Imported!$C$2:$C$151,$C19&amp;""),0))</f>
        <v/>
      </c>
    </row>
    <row r="20">
      <c r="A20" s="9">
        <f>IF(Roster!A20="","",Roster!A20)</f>
        <v/>
      </c>
      <c r="B20" s="9">
        <f>IF($A20="","",Roster!B20)</f>
        <v/>
      </c>
      <c r="C20" s="9">
        <f>IF($A20="","",Roster!C20)</f>
        <v/>
      </c>
      <c r="D20" s="9">
        <f>IF($A20="","",IFERROR(SUMIFS(Imported!$D$2:$D$151,Imported!$B$2:$B$151,$B20&amp;"",Imported!$C$2:$C$151,$C20&amp;""),0))</f>
        <v/>
      </c>
      <c r="E20" s="9">
        <f>IF($A20="","",IFERROR(SUMIFS(Imported!$E$2:$E$151,Imported!$B$2:$B$151,$B20&amp;"",Imported!$C$2:$C$151,$C20&amp;""),0))</f>
        <v/>
      </c>
      <c r="F20" s="15">
        <f>IF($A20="","",IFERROR(SUMIFS(Imported!$F$2:$F$151,Imported!$B$2:$B$151,$B20&amp;"",Imported!$C$2:$C$151,$C20&amp;""),0))</f>
        <v/>
      </c>
      <c r="G20" s="9">
        <f>IF($A20="","",IFERROR(SUMIFS(Imported!$G$2:$G$151,Imported!$B$2:$B$151,$B20&amp;"",Imported!$C$2:$C$151,$C20&amp;""),0))</f>
        <v/>
      </c>
      <c r="H20" s="9">
        <f>IF($A20="","",IFERROR(SUMIFS(Imported!$H$2:$H$151,Imported!$B$2:$B$151,$B20&amp;"",Imported!$C$2:$C$151,$C20&amp;""),0))</f>
        <v/>
      </c>
    </row>
    <row r="21">
      <c r="A21" s="9">
        <f>IF(Roster!A21="","",Roster!A21)</f>
        <v/>
      </c>
      <c r="B21" s="9">
        <f>IF($A21="","",Roster!B21)</f>
        <v/>
      </c>
      <c r="C21" s="9">
        <f>IF($A21="","",Roster!C21)</f>
        <v/>
      </c>
      <c r="D21" s="9">
        <f>IF($A21="","",IFERROR(SUMIFS(Imported!$D$2:$D$151,Imported!$B$2:$B$151,$B21&amp;"",Imported!$C$2:$C$151,$C21&amp;""),0))</f>
        <v/>
      </c>
      <c r="E21" s="9">
        <f>IF($A21="","",IFERROR(SUMIFS(Imported!$E$2:$E$151,Imported!$B$2:$B$151,$B21&amp;"",Imported!$C$2:$C$151,$C21&amp;""),0))</f>
        <v/>
      </c>
      <c r="F21" s="15">
        <f>IF($A21="","",IFERROR(SUMIFS(Imported!$F$2:$F$151,Imported!$B$2:$B$151,$B21&amp;"",Imported!$C$2:$C$151,$C21&amp;""),0))</f>
        <v/>
      </c>
      <c r="G21" s="9">
        <f>IF($A21="","",IFERROR(SUMIFS(Imported!$G$2:$G$151,Imported!$B$2:$B$151,$B21&amp;"",Imported!$C$2:$C$151,$C21&amp;""),0))</f>
        <v/>
      </c>
      <c r="H21" s="9">
        <f>IF($A21="","",IFERROR(SUMIFS(Imported!$H$2:$H$151,Imported!$B$2:$B$151,$B21&amp;"",Imported!$C$2:$C$151,$C21&amp;""),0))</f>
        <v/>
      </c>
    </row>
    <row r="22">
      <c r="A22" s="9">
        <f>IF(Roster!A22="","",Roster!A22)</f>
        <v/>
      </c>
      <c r="B22" s="9">
        <f>IF($A22="","",Roster!B22)</f>
        <v/>
      </c>
      <c r="C22" s="9">
        <f>IF($A22="","",Roster!C22)</f>
        <v/>
      </c>
      <c r="D22" s="9">
        <f>IF($A22="","",IFERROR(SUMIFS(Imported!$D$2:$D$151,Imported!$B$2:$B$151,$B22&amp;"",Imported!$C$2:$C$151,$C22&amp;""),0))</f>
        <v/>
      </c>
      <c r="E22" s="9">
        <f>IF($A22="","",IFERROR(SUMIFS(Imported!$E$2:$E$151,Imported!$B$2:$B$151,$B22&amp;"",Imported!$C$2:$C$151,$C22&amp;""),0))</f>
        <v/>
      </c>
      <c r="F22" s="15">
        <f>IF($A22="","",IFERROR(SUMIFS(Imported!$F$2:$F$151,Imported!$B$2:$B$151,$B22&amp;"",Imported!$C$2:$C$151,$C22&amp;""),0))</f>
        <v/>
      </c>
      <c r="G22" s="9">
        <f>IF($A22="","",IFERROR(SUMIFS(Imported!$G$2:$G$151,Imported!$B$2:$B$151,$B22&amp;"",Imported!$C$2:$C$151,$C22&amp;""),0))</f>
        <v/>
      </c>
      <c r="H22" s="9">
        <f>IF($A22="","",IFERROR(SUMIFS(Imported!$H$2:$H$151,Imported!$B$2:$B$151,$B22&amp;"",Imported!$C$2:$C$151,$C22&amp;""),0))</f>
        <v/>
      </c>
    </row>
    <row r="23">
      <c r="A23" s="9">
        <f>IF(Roster!A23="","",Roster!A23)</f>
        <v/>
      </c>
      <c r="B23" s="9">
        <f>IF($A23="","",Roster!B23)</f>
        <v/>
      </c>
      <c r="C23" s="9">
        <f>IF($A23="","",Roster!C23)</f>
        <v/>
      </c>
      <c r="D23" s="9">
        <f>IF($A23="","",IFERROR(SUMIFS(Imported!$D$2:$D$151,Imported!$B$2:$B$151,$B23&amp;"",Imported!$C$2:$C$151,$C23&amp;""),0))</f>
        <v/>
      </c>
      <c r="E23" s="9">
        <f>IF($A23="","",IFERROR(SUMIFS(Imported!$E$2:$E$151,Imported!$B$2:$B$151,$B23&amp;"",Imported!$C$2:$C$151,$C23&amp;""),0))</f>
        <v/>
      </c>
      <c r="F23" s="15">
        <f>IF($A23="","",IFERROR(SUMIFS(Imported!$F$2:$F$151,Imported!$B$2:$B$151,$B23&amp;"",Imported!$C$2:$C$151,$C23&amp;""),0))</f>
        <v/>
      </c>
      <c r="G23" s="9">
        <f>IF($A23="","",IFERROR(SUMIFS(Imported!$G$2:$G$151,Imported!$B$2:$B$151,$B23&amp;"",Imported!$C$2:$C$151,$C23&amp;""),0))</f>
        <v/>
      </c>
      <c r="H23" s="9">
        <f>IF($A23="","",IFERROR(SUMIFS(Imported!$H$2:$H$151,Imported!$B$2:$B$151,$B23&amp;"",Imported!$C$2:$C$151,$C23&amp;""),0))</f>
        <v/>
      </c>
    </row>
    <row r="24">
      <c r="A24" s="9">
        <f>IF(Roster!A24="","",Roster!A24)</f>
        <v/>
      </c>
      <c r="B24" s="9">
        <f>IF($A24="","",Roster!B24)</f>
        <v/>
      </c>
      <c r="C24" s="9">
        <f>IF($A24="","",Roster!C24)</f>
        <v/>
      </c>
      <c r="D24" s="9">
        <f>IF($A24="","",IFERROR(SUMIFS(Imported!$D$2:$D$151,Imported!$B$2:$B$151,$B24&amp;"",Imported!$C$2:$C$151,$C24&amp;""),0))</f>
        <v/>
      </c>
      <c r="E24" s="9">
        <f>IF($A24="","",IFERROR(SUMIFS(Imported!$E$2:$E$151,Imported!$B$2:$B$151,$B24&amp;"",Imported!$C$2:$C$151,$C24&amp;""),0))</f>
        <v/>
      </c>
      <c r="F24" s="15">
        <f>IF($A24="","",IFERROR(SUMIFS(Imported!$F$2:$F$151,Imported!$B$2:$B$151,$B24&amp;"",Imported!$C$2:$C$151,$C24&amp;""),0))</f>
        <v/>
      </c>
      <c r="G24" s="9">
        <f>IF($A24="","",IFERROR(SUMIFS(Imported!$G$2:$G$151,Imported!$B$2:$B$151,$B24&amp;"",Imported!$C$2:$C$151,$C24&amp;""),0))</f>
        <v/>
      </c>
      <c r="H24" s="9">
        <f>IF($A24="","",IFERROR(SUMIFS(Imported!$H$2:$H$151,Imported!$B$2:$B$151,$B24&amp;"",Imported!$C$2:$C$151,$C24&amp;""),0))</f>
        <v/>
      </c>
    </row>
    <row r="25">
      <c r="A25" s="9">
        <f>IF(Roster!A25="","",Roster!A25)</f>
        <v/>
      </c>
      <c r="B25" s="9">
        <f>IF($A25="","",Roster!B25)</f>
        <v/>
      </c>
      <c r="C25" s="9">
        <f>IF($A25="","",Roster!C25)</f>
        <v/>
      </c>
      <c r="D25" s="9">
        <f>IF($A25="","",IFERROR(SUMIFS(Imported!$D$2:$D$151,Imported!$B$2:$B$151,$B25&amp;"",Imported!$C$2:$C$151,$C25&amp;""),0))</f>
        <v/>
      </c>
      <c r="E25" s="9">
        <f>IF($A25="","",IFERROR(SUMIFS(Imported!$E$2:$E$151,Imported!$B$2:$B$151,$B25&amp;"",Imported!$C$2:$C$151,$C25&amp;""),0))</f>
        <v/>
      </c>
      <c r="F25" s="15">
        <f>IF($A25="","",IFERROR(SUMIFS(Imported!$F$2:$F$151,Imported!$B$2:$B$151,$B25&amp;"",Imported!$C$2:$C$151,$C25&amp;""),0))</f>
        <v/>
      </c>
      <c r="G25" s="9">
        <f>IF($A25="","",IFERROR(SUMIFS(Imported!$G$2:$G$151,Imported!$B$2:$B$151,$B25&amp;"",Imported!$C$2:$C$151,$C25&amp;""),0))</f>
        <v/>
      </c>
      <c r="H25" s="9">
        <f>IF($A25="","",IFERROR(SUMIFS(Imported!$H$2:$H$151,Imported!$B$2:$B$151,$B25&amp;"",Imported!$C$2:$C$151,$C25&amp;""),0))</f>
        <v/>
      </c>
    </row>
    <row r="26">
      <c r="A26" s="9">
        <f>IF(Roster!A26="","",Roster!A26)</f>
        <v/>
      </c>
      <c r="B26" s="9">
        <f>IF($A26="","",Roster!B26)</f>
        <v/>
      </c>
      <c r="C26" s="9">
        <f>IF($A26="","",Roster!C26)</f>
        <v/>
      </c>
      <c r="D26" s="9">
        <f>IF($A26="","",IFERROR(SUMIFS(Imported!$D$2:$D$151,Imported!$B$2:$B$151,$B26&amp;"",Imported!$C$2:$C$151,$C26&amp;""),0))</f>
        <v/>
      </c>
      <c r="E26" s="9">
        <f>IF($A26="","",IFERROR(SUMIFS(Imported!$E$2:$E$151,Imported!$B$2:$B$151,$B26&amp;"",Imported!$C$2:$C$151,$C26&amp;""),0))</f>
        <v/>
      </c>
      <c r="F26" s="15">
        <f>IF($A26="","",IFERROR(SUMIFS(Imported!$F$2:$F$151,Imported!$B$2:$B$151,$B26&amp;"",Imported!$C$2:$C$151,$C26&amp;""),0))</f>
        <v/>
      </c>
      <c r="G26" s="9">
        <f>IF($A26="","",IFERROR(SUMIFS(Imported!$G$2:$G$151,Imported!$B$2:$B$151,$B26&amp;"",Imported!$C$2:$C$151,$C26&amp;""),0))</f>
        <v/>
      </c>
      <c r="H26" s="9">
        <f>IF($A26="","",IFERROR(SUMIFS(Imported!$H$2:$H$151,Imported!$B$2:$B$151,$B26&amp;"",Imported!$C$2:$C$151,$C26&amp;""),0))</f>
        <v/>
      </c>
    </row>
    <row r="27">
      <c r="A27" s="9">
        <f>IF(Roster!A27="","",Roster!A27)</f>
        <v/>
      </c>
      <c r="B27" s="9">
        <f>IF($A27="","",Roster!B27)</f>
        <v/>
      </c>
      <c r="C27" s="9">
        <f>IF($A27="","",Roster!C27)</f>
        <v/>
      </c>
      <c r="D27" s="9">
        <f>IF($A27="","",IFERROR(SUMIFS(Imported!$D$2:$D$151,Imported!$B$2:$B$151,$B27&amp;"",Imported!$C$2:$C$151,$C27&amp;""),0))</f>
        <v/>
      </c>
      <c r="E27" s="9">
        <f>IF($A27="","",IFERROR(SUMIFS(Imported!$E$2:$E$151,Imported!$B$2:$B$151,$B27&amp;"",Imported!$C$2:$C$151,$C27&amp;""),0))</f>
        <v/>
      </c>
      <c r="F27" s="15">
        <f>IF($A27="","",IFERROR(SUMIFS(Imported!$F$2:$F$151,Imported!$B$2:$B$151,$B27&amp;"",Imported!$C$2:$C$151,$C27&amp;""),0))</f>
        <v/>
      </c>
      <c r="G27" s="9">
        <f>IF($A27="","",IFERROR(SUMIFS(Imported!$G$2:$G$151,Imported!$B$2:$B$151,$B27&amp;"",Imported!$C$2:$C$151,$C27&amp;""),0))</f>
        <v/>
      </c>
      <c r="H27" s="9">
        <f>IF($A27="","",IFERROR(SUMIFS(Imported!$H$2:$H$151,Imported!$B$2:$B$151,$B27&amp;"",Imported!$C$2:$C$151,$C27&amp;""),0))</f>
        <v/>
      </c>
    </row>
    <row r="28">
      <c r="A28" s="9">
        <f>IF(Roster!A28="","",Roster!A28)</f>
        <v/>
      </c>
      <c r="B28" s="9">
        <f>IF($A28="","",Roster!B28)</f>
        <v/>
      </c>
      <c r="C28" s="9">
        <f>IF($A28="","",Roster!C28)</f>
        <v/>
      </c>
      <c r="D28" s="9">
        <f>IF($A28="","",IFERROR(SUMIFS(Imported!$D$2:$D$151,Imported!$B$2:$B$151,$B28&amp;"",Imported!$C$2:$C$151,$C28&amp;""),0))</f>
        <v/>
      </c>
      <c r="E28" s="9">
        <f>IF($A28="","",IFERROR(SUMIFS(Imported!$E$2:$E$151,Imported!$B$2:$B$151,$B28&amp;"",Imported!$C$2:$C$151,$C28&amp;""),0))</f>
        <v/>
      </c>
      <c r="F28" s="15">
        <f>IF($A28="","",IFERROR(SUMIFS(Imported!$F$2:$F$151,Imported!$B$2:$B$151,$B28&amp;"",Imported!$C$2:$C$151,$C28&amp;""),0))</f>
        <v/>
      </c>
      <c r="G28" s="9">
        <f>IF($A28="","",IFERROR(SUMIFS(Imported!$G$2:$G$151,Imported!$B$2:$B$151,$B28&amp;"",Imported!$C$2:$C$151,$C28&amp;""),0))</f>
        <v/>
      </c>
      <c r="H28" s="9">
        <f>IF($A28="","",IFERROR(SUMIFS(Imported!$H$2:$H$151,Imported!$B$2:$B$151,$B28&amp;"",Imported!$C$2:$C$151,$C28&amp;""),0))</f>
        <v/>
      </c>
    </row>
    <row r="29">
      <c r="A29" s="9">
        <f>IF(Roster!A29="","",Roster!A29)</f>
        <v/>
      </c>
      <c r="B29" s="9">
        <f>IF($A29="","",Roster!B29)</f>
        <v/>
      </c>
      <c r="C29" s="9">
        <f>IF($A29="","",Roster!C29)</f>
        <v/>
      </c>
      <c r="D29" s="9">
        <f>IF($A29="","",IFERROR(SUMIFS(Imported!$D$2:$D$151,Imported!$B$2:$B$151,$B29&amp;"",Imported!$C$2:$C$151,$C29&amp;""),0))</f>
        <v/>
      </c>
      <c r="E29" s="9">
        <f>IF($A29="","",IFERROR(SUMIFS(Imported!$E$2:$E$151,Imported!$B$2:$B$151,$B29&amp;"",Imported!$C$2:$C$151,$C29&amp;""),0))</f>
        <v/>
      </c>
      <c r="F29" s="15">
        <f>IF($A29="","",IFERROR(SUMIFS(Imported!$F$2:$F$151,Imported!$B$2:$B$151,$B29&amp;"",Imported!$C$2:$C$151,$C29&amp;""),0))</f>
        <v/>
      </c>
      <c r="G29" s="9">
        <f>IF($A29="","",IFERROR(SUMIFS(Imported!$G$2:$G$151,Imported!$B$2:$B$151,$B29&amp;"",Imported!$C$2:$C$151,$C29&amp;""),0))</f>
        <v/>
      </c>
      <c r="H29" s="9">
        <f>IF($A29="","",IFERROR(SUMIFS(Imported!$H$2:$H$151,Imported!$B$2:$B$151,$B29&amp;"",Imported!$C$2:$C$151,$C29&amp;""),0))</f>
        <v/>
      </c>
    </row>
    <row r="30">
      <c r="A30" s="9">
        <f>IF(Roster!A30="","",Roster!A30)</f>
        <v/>
      </c>
      <c r="B30" s="9">
        <f>IF($A30="","",Roster!B30)</f>
        <v/>
      </c>
      <c r="C30" s="9">
        <f>IF($A30="","",Roster!C30)</f>
        <v/>
      </c>
      <c r="D30" s="9">
        <f>IF($A30="","",IFERROR(SUMIFS(Imported!$D$2:$D$151,Imported!$B$2:$B$151,$B30&amp;"",Imported!$C$2:$C$151,$C30&amp;""),0))</f>
        <v/>
      </c>
      <c r="E30" s="9">
        <f>IF($A30="","",IFERROR(SUMIFS(Imported!$E$2:$E$151,Imported!$B$2:$B$151,$B30&amp;"",Imported!$C$2:$C$151,$C30&amp;""),0))</f>
        <v/>
      </c>
      <c r="F30" s="15">
        <f>IF($A30="","",IFERROR(SUMIFS(Imported!$F$2:$F$151,Imported!$B$2:$B$151,$B30&amp;"",Imported!$C$2:$C$151,$C30&amp;""),0))</f>
        <v/>
      </c>
      <c r="G30" s="9">
        <f>IF($A30="","",IFERROR(SUMIFS(Imported!$G$2:$G$151,Imported!$B$2:$B$151,$B30&amp;"",Imported!$C$2:$C$151,$C30&amp;""),0))</f>
        <v/>
      </c>
      <c r="H30" s="9">
        <f>IF($A30="","",IFERROR(SUMIFS(Imported!$H$2:$H$151,Imported!$B$2:$B$151,$B30&amp;"",Imported!$C$2:$C$151,$C30&amp;""),0))</f>
        <v/>
      </c>
    </row>
    <row r="31">
      <c r="A31" s="9">
        <f>IF(Roster!A31="","",Roster!A31)</f>
        <v/>
      </c>
      <c r="B31" s="9">
        <f>IF($A31="","",Roster!B31)</f>
        <v/>
      </c>
      <c r="C31" s="9">
        <f>IF($A31="","",Roster!C31)</f>
        <v/>
      </c>
      <c r="D31" s="9">
        <f>IF($A31="","",IFERROR(SUMIFS(Imported!$D$2:$D$151,Imported!$B$2:$B$151,$B31&amp;"",Imported!$C$2:$C$151,$C31&amp;""),0))</f>
        <v/>
      </c>
      <c r="E31" s="9">
        <f>IF($A31="","",IFERROR(SUMIFS(Imported!$E$2:$E$151,Imported!$B$2:$B$151,$B31&amp;"",Imported!$C$2:$C$151,$C31&amp;""),0))</f>
        <v/>
      </c>
      <c r="F31" s="15">
        <f>IF($A31="","",IFERROR(SUMIFS(Imported!$F$2:$F$151,Imported!$B$2:$B$151,$B31&amp;"",Imported!$C$2:$C$151,$C31&amp;""),0))</f>
        <v/>
      </c>
      <c r="G31" s="9">
        <f>IF($A31="","",IFERROR(SUMIFS(Imported!$G$2:$G$151,Imported!$B$2:$B$151,$B31&amp;"",Imported!$C$2:$C$151,$C31&amp;""),0))</f>
        <v/>
      </c>
      <c r="H31" s="9">
        <f>IF($A31="","",IFERROR(SUMIFS(Imported!$H$2:$H$151,Imported!$B$2:$B$151,$B31&amp;"",Imported!$C$2:$C$151,$C31&amp;""),0))</f>
        <v/>
      </c>
    </row>
    <row r="32">
      <c r="A32" s="9">
        <f>IF(Roster!A32="","",Roster!A32)</f>
        <v/>
      </c>
      <c r="B32" s="9">
        <f>IF($A32="","",Roster!B32)</f>
        <v/>
      </c>
      <c r="C32" s="9">
        <f>IF($A32="","",Roster!C32)</f>
        <v/>
      </c>
      <c r="D32" s="9">
        <f>IF($A32="","",IFERROR(SUMIFS(Imported!$D$2:$D$151,Imported!$B$2:$B$151,$B32&amp;"",Imported!$C$2:$C$151,$C32&amp;""),0))</f>
        <v/>
      </c>
      <c r="E32" s="9">
        <f>IF($A32="","",IFERROR(SUMIFS(Imported!$E$2:$E$151,Imported!$B$2:$B$151,$B32&amp;"",Imported!$C$2:$C$151,$C32&amp;""),0))</f>
        <v/>
      </c>
      <c r="F32" s="15">
        <f>IF($A32="","",IFERROR(SUMIFS(Imported!$F$2:$F$151,Imported!$B$2:$B$151,$B32&amp;"",Imported!$C$2:$C$151,$C32&amp;""),0))</f>
        <v/>
      </c>
      <c r="G32" s="9">
        <f>IF($A32="","",IFERROR(SUMIFS(Imported!$G$2:$G$151,Imported!$B$2:$B$151,$B32&amp;"",Imported!$C$2:$C$151,$C32&amp;""),0))</f>
        <v/>
      </c>
      <c r="H32" s="9">
        <f>IF($A32="","",IFERROR(SUMIFS(Imported!$H$2:$H$151,Imported!$B$2:$B$151,$B32&amp;"",Imported!$C$2:$C$151,$C32&amp;""),0))</f>
        <v/>
      </c>
    </row>
    <row r="33">
      <c r="A33" s="9">
        <f>IF(Roster!A33="","",Roster!A33)</f>
        <v/>
      </c>
      <c r="B33" s="9">
        <f>IF($A33="","",Roster!B33)</f>
        <v/>
      </c>
      <c r="C33" s="9">
        <f>IF($A33="","",Roster!C33)</f>
        <v/>
      </c>
      <c r="D33" s="9">
        <f>IF($A33="","",IFERROR(SUMIFS(Imported!$D$2:$D$151,Imported!$B$2:$B$151,$B33&amp;"",Imported!$C$2:$C$151,$C33&amp;""),0))</f>
        <v/>
      </c>
      <c r="E33" s="9">
        <f>IF($A33="","",IFERROR(SUMIFS(Imported!$E$2:$E$151,Imported!$B$2:$B$151,$B33&amp;"",Imported!$C$2:$C$151,$C33&amp;""),0))</f>
        <v/>
      </c>
      <c r="F33" s="15">
        <f>IF($A33="","",IFERROR(SUMIFS(Imported!$F$2:$F$151,Imported!$B$2:$B$151,$B33&amp;"",Imported!$C$2:$C$151,$C33&amp;""),0))</f>
        <v/>
      </c>
      <c r="G33" s="9">
        <f>IF($A33="","",IFERROR(SUMIFS(Imported!$G$2:$G$151,Imported!$B$2:$B$151,$B33&amp;"",Imported!$C$2:$C$151,$C33&amp;""),0))</f>
        <v/>
      </c>
      <c r="H33" s="9">
        <f>IF($A33="","",IFERROR(SUMIFS(Imported!$H$2:$H$151,Imported!$B$2:$B$151,$B33&amp;"",Imported!$C$2:$C$151,$C33&amp;""),0))</f>
        <v/>
      </c>
    </row>
    <row r="34">
      <c r="A34" s="9">
        <f>IF(Roster!A34="","",Roster!A34)</f>
        <v/>
      </c>
      <c r="B34" s="9">
        <f>IF($A34="","",Roster!B34)</f>
        <v/>
      </c>
      <c r="C34" s="9">
        <f>IF($A34="","",Roster!C34)</f>
        <v/>
      </c>
      <c r="D34" s="9">
        <f>IF($A34="","",IFERROR(SUMIFS(Imported!$D$2:$D$151,Imported!$B$2:$B$151,$B34&amp;"",Imported!$C$2:$C$151,$C34&amp;""),0))</f>
        <v/>
      </c>
      <c r="E34" s="9">
        <f>IF($A34="","",IFERROR(SUMIFS(Imported!$E$2:$E$151,Imported!$B$2:$B$151,$B34&amp;"",Imported!$C$2:$C$151,$C34&amp;""),0))</f>
        <v/>
      </c>
      <c r="F34" s="15">
        <f>IF($A34="","",IFERROR(SUMIFS(Imported!$F$2:$F$151,Imported!$B$2:$B$151,$B34&amp;"",Imported!$C$2:$C$151,$C34&amp;""),0))</f>
        <v/>
      </c>
      <c r="G34" s="9">
        <f>IF($A34="","",IFERROR(SUMIFS(Imported!$G$2:$G$151,Imported!$B$2:$B$151,$B34&amp;"",Imported!$C$2:$C$151,$C34&amp;""),0))</f>
        <v/>
      </c>
      <c r="H34" s="9">
        <f>IF($A34="","",IFERROR(SUMIFS(Imported!$H$2:$H$151,Imported!$B$2:$B$151,$B34&amp;"",Imported!$C$2:$C$151,$C34&amp;""),0))</f>
        <v/>
      </c>
    </row>
    <row r="35">
      <c r="A35" s="9">
        <f>IF(Roster!A35="","",Roster!A35)</f>
        <v/>
      </c>
      <c r="B35" s="9">
        <f>IF($A35="","",Roster!B35)</f>
        <v/>
      </c>
      <c r="C35" s="9">
        <f>IF($A35="","",Roster!C35)</f>
        <v/>
      </c>
      <c r="D35" s="9">
        <f>IF($A35="","",IFERROR(SUMIFS(Imported!$D$2:$D$151,Imported!$B$2:$B$151,$B35&amp;"",Imported!$C$2:$C$151,$C35&amp;""),0))</f>
        <v/>
      </c>
      <c r="E35" s="9">
        <f>IF($A35="","",IFERROR(SUMIFS(Imported!$E$2:$E$151,Imported!$B$2:$B$151,$B35&amp;"",Imported!$C$2:$C$151,$C35&amp;""),0))</f>
        <v/>
      </c>
      <c r="F35" s="15">
        <f>IF($A35="","",IFERROR(SUMIFS(Imported!$F$2:$F$151,Imported!$B$2:$B$151,$B35&amp;"",Imported!$C$2:$C$151,$C35&amp;""),0))</f>
        <v/>
      </c>
      <c r="G35" s="9">
        <f>IF($A35="","",IFERROR(SUMIFS(Imported!$G$2:$G$151,Imported!$B$2:$B$151,$B35&amp;"",Imported!$C$2:$C$151,$C35&amp;""),0))</f>
        <v/>
      </c>
      <c r="H35" s="9">
        <f>IF($A35="","",IFERROR(SUMIFS(Imported!$H$2:$H$151,Imported!$B$2:$B$151,$B35&amp;"",Imported!$C$2:$C$151,$C35&amp;""),0))</f>
        <v/>
      </c>
    </row>
    <row r="36">
      <c r="A36" s="9">
        <f>IF(Roster!A36="","",Roster!A36)</f>
        <v/>
      </c>
      <c r="B36" s="9">
        <f>IF($A36="","",Roster!B36)</f>
        <v/>
      </c>
      <c r="C36" s="9">
        <f>IF($A36="","",Roster!C36)</f>
        <v/>
      </c>
      <c r="D36" s="9">
        <f>IF($A36="","",IFERROR(SUMIFS(Imported!$D$2:$D$151,Imported!$B$2:$B$151,$B36&amp;"",Imported!$C$2:$C$151,$C36&amp;""),0))</f>
        <v/>
      </c>
      <c r="E36" s="9">
        <f>IF($A36="","",IFERROR(SUMIFS(Imported!$E$2:$E$151,Imported!$B$2:$B$151,$B36&amp;"",Imported!$C$2:$C$151,$C36&amp;""),0))</f>
        <v/>
      </c>
      <c r="F36" s="15">
        <f>IF($A36="","",IFERROR(SUMIFS(Imported!$F$2:$F$151,Imported!$B$2:$B$151,$B36&amp;"",Imported!$C$2:$C$151,$C36&amp;""),0))</f>
        <v/>
      </c>
      <c r="G36" s="9">
        <f>IF($A36="","",IFERROR(SUMIFS(Imported!$G$2:$G$151,Imported!$B$2:$B$151,$B36&amp;"",Imported!$C$2:$C$151,$C36&amp;""),0))</f>
        <v/>
      </c>
      <c r="H36" s="9">
        <f>IF($A36="","",IFERROR(SUMIFS(Imported!$H$2:$H$151,Imported!$B$2:$B$151,$B36&amp;"",Imported!$C$2:$C$151,$C36&amp;""),0))</f>
        <v/>
      </c>
    </row>
    <row r="37">
      <c r="A37" s="9">
        <f>IF(Roster!A37="","",Roster!A37)</f>
        <v/>
      </c>
      <c r="B37" s="9">
        <f>IF($A37="","",Roster!B37)</f>
        <v/>
      </c>
      <c r="C37" s="9">
        <f>IF($A37="","",Roster!C37)</f>
        <v/>
      </c>
      <c r="D37" s="9">
        <f>IF($A37="","",IFERROR(SUMIFS(Imported!$D$2:$D$151,Imported!$B$2:$B$151,$B37&amp;"",Imported!$C$2:$C$151,$C37&amp;""),0))</f>
        <v/>
      </c>
      <c r="E37" s="9">
        <f>IF($A37="","",IFERROR(SUMIFS(Imported!$E$2:$E$151,Imported!$B$2:$B$151,$B37&amp;"",Imported!$C$2:$C$151,$C37&amp;""),0))</f>
        <v/>
      </c>
      <c r="F37" s="15">
        <f>IF($A37="","",IFERROR(SUMIFS(Imported!$F$2:$F$151,Imported!$B$2:$B$151,$B37&amp;"",Imported!$C$2:$C$151,$C37&amp;""),0))</f>
        <v/>
      </c>
      <c r="G37" s="9">
        <f>IF($A37="","",IFERROR(SUMIFS(Imported!$G$2:$G$151,Imported!$B$2:$B$151,$B37&amp;"",Imported!$C$2:$C$151,$C37&amp;""),0))</f>
        <v/>
      </c>
      <c r="H37" s="9">
        <f>IF($A37="","",IFERROR(SUMIFS(Imported!$H$2:$H$151,Imported!$B$2:$B$151,$B37&amp;"",Imported!$C$2:$C$151,$C37&amp;""),0))</f>
        <v/>
      </c>
    </row>
    <row r="38">
      <c r="A38" s="9">
        <f>IF(Roster!A38="","",Roster!A38)</f>
        <v/>
      </c>
      <c r="B38" s="9">
        <f>IF($A38="","",Roster!B38)</f>
        <v/>
      </c>
      <c r="C38" s="9">
        <f>IF($A38="","",Roster!C38)</f>
        <v/>
      </c>
      <c r="D38" s="9">
        <f>IF($A38="","",IFERROR(SUMIFS(Imported!$D$2:$D$151,Imported!$B$2:$B$151,$B38&amp;"",Imported!$C$2:$C$151,$C38&amp;""),0))</f>
        <v/>
      </c>
      <c r="E38" s="9">
        <f>IF($A38="","",IFERROR(SUMIFS(Imported!$E$2:$E$151,Imported!$B$2:$B$151,$B38&amp;"",Imported!$C$2:$C$151,$C38&amp;""),0))</f>
        <v/>
      </c>
      <c r="F38" s="15">
        <f>IF($A38="","",IFERROR(SUMIFS(Imported!$F$2:$F$151,Imported!$B$2:$B$151,$B38&amp;"",Imported!$C$2:$C$151,$C38&amp;""),0))</f>
        <v/>
      </c>
      <c r="G38" s="9">
        <f>IF($A38="","",IFERROR(SUMIFS(Imported!$G$2:$G$151,Imported!$B$2:$B$151,$B38&amp;"",Imported!$C$2:$C$151,$C38&amp;""),0))</f>
        <v/>
      </c>
      <c r="H38" s="9">
        <f>IF($A38="","",IFERROR(SUMIFS(Imported!$H$2:$H$151,Imported!$B$2:$B$151,$B38&amp;"",Imported!$C$2:$C$151,$C38&amp;""),0))</f>
        <v/>
      </c>
    </row>
    <row r="39">
      <c r="A39" s="9">
        <f>IF(Roster!A39="","",Roster!A39)</f>
        <v/>
      </c>
      <c r="B39" s="9">
        <f>IF($A39="","",Roster!B39)</f>
        <v/>
      </c>
      <c r="C39" s="9">
        <f>IF($A39="","",Roster!C39)</f>
        <v/>
      </c>
      <c r="D39" s="9">
        <f>IF($A39="","",IFERROR(SUMIFS(Imported!$D$2:$D$151,Imported!$B$2:$B$151,$B39&amp;"",Imported!$C$2:$C$151,$C39&amp;""),0))</f>
        <v/>
      </c>
      <c r="E39" s="9">
        <f>IF($A39="","",IFERROR(SUMIFS(Imported!$E$2:$E$151,Imported!$B$2:$B$151,$B39&amp;"",Imported!$C$2:$C$151,$C39&amp;""),0))</f>
        <v/>
      </c>
      <c r="F39" s="15">
        <f>IF($A39="","",IFERROR(SUMIFS(Imported!$F$2:$F$151,Imported!$B$2:$B$151,$B39&amp;"",Imported!$C$2:$C$151,$C39&amp;""),0))</f>
        <v/>
      </c>
      <c r="G39" s="9">
        <f>IF($A39="","",IFERROR(SUMIFS(Imported!$G$2:$G$151,Imported!$B$2:$B$151,$B39&amp;"",Imported!$C$2:$C$151,$C39&amp;""),0))</f>
        <v/>
      </c>
      <c r="H39" s="9">
        <f>IF($A39="","",IFERROR(SUMIFS(Imported!$H$2:$H$151,Imported!$B$2:$B$151,$B39&amp;"",Imported!$C$2:$C$151,$C39&amp;""),0))</f>
        <v/>
      </c>
    </row>
    <row r="40">
      <c r="A40" s="9">
        <f>IF(Roster!A40="","",Roster!A40)</f>
        <v/>
      </c>
      <c r="B40" s="9">
        <f>IF($A40="","",Roster!B40)</f>
        <v/>
      </c>
      <c r="C40" s="9">
        <f>IF($A40="","",Roster!C40)</f>
        <v/>
      </c>
      <c r="D40" s="9">
        <f>IF($A40="","",IFERROR(SUMIFS(Imported!$D$2:$D$151,Imported!$B$2:$B$151,$B40&amp;"",Imported!$C$2:$C$151,$C40&amp;""),0))</f>
        <v/>
      </c>
      <c r="E40" s="9">
        <f>IF($A40="","",IFERROR(SUMIFS(Imported!$E$2:$E$151,Imported!$B$2:$B$151,$B40&amp;"",Imported!$C$2:$C$151,$C40&amp;""),0))</f>
        <v/>
      </c>
      <c r="F40" s="15">
        <f>IF($A40="","",IFERROR(SUMIFS(Imported!$F$2:$F$151,Imported!$B$2:$B$151,$B40&amp;"",Imported!$C$2:$C$151,$C40&amp;""),0))</f>
        <v/>
      </c>
      <c r="G40" s="9">
        <f>IF($A40="","",IFERROR(SUMIFS(Imported!$G$2:$G$151,Imported!$B$2:$B$151,$B40&amp;"",Imported!$C$2:$C$151,$C40&amp;""),0))</f>
        <v/>
      </c>
      <c r="H40" s="9">
        <f>IF($A40="","",IFERROR(SUMIFS(Imported!$H$2:$H$151,Imported!$B$2:$B$151,$B40&amp;"",Imported!$C$2:$C$151,$C40&amp;""),0))</f>
        <v/>
      </c>
    </row>
    <row r="41">
      <c r="A41">
        <f>IF(Roster!A41="","",Roster!A41)</f>
        <v/>
      </c>
      <c r="B41">
        <f>IF($A41="","",Roster!B41)</f>
        <v/>
      </c>
      <c r="C41">
        <f>IF($A41="","",Roster!C41)</f>
        <v/>
      </c>
      <c r="D41">
        <f>IF($A41="","",IFERROR(SUMIFS(Imported!$D$2:$D$151,Imported!$B$2:$B$151,$B41&amp;"",Imported!$C$2:$C$151,$C41&amp;""),0))</f>
        <v/>
      </c>
      <c r="E41">
        <f>IF($A41="","",IFERROR(SUMIFS(Imported!$E$2:$E$151,Imported!$B$2:$B$151,$B41&amp;"",Imported!$C$2:$C$151,$C41&amp;""),0))</f>
        <v/>
      </c>
      <c r="F41" s="16">
        <f>IF($A41="","",IFERROR(SUMIFS(Imported!$F$2:$F$151,Imported!$B$2:$B$151,$B41&amp;"",Imported!$C$2:$C$151,$C41&amp;""),0))</f>
        <v/>
      </c>
      <c r="G41">
        <f>IF($A41="","",IFERROR(SUMIFS(Imported!$G$2:$G$151,Imported!$B$2:$B$151,$B41&amp;"",Imported!$C$2:$C$151,$C41&amp;""),0))</f>
        <v/>
      </c>
      <c r="H41">
        <f>IF($A41="","",IFERROR(SUMIFS(Imported!$H$2:$H$151,Imported!$B$2:$B$151,$B41&amp;"",Imported!$C$2:$C$151,$C41&amp;""),0))</f>
        <v/>
      </c>
    </row>
    <row r="42">
      <c r="A42">
        <f>IF(Roster!A42="","",Roster!A42)</f>
        <v/>
      </c>
      <c r="B42">
        <f>IF($A42="","",Roster!B42)</f>
        <v/>
      </c>
      <c r="C42">
        <f>IF($A42="","",Roster!C42)</f>
        <v/>
      </c>
      <c r="D42">
        <f>IF($A42="","",IFERROR(SUMIFS(Imported!$D$2:$D$151,Imported!$B$2:$B$151,$B42&amp;"",Imported!$C$2:$C$151,$C42&amp;""),0))</f>
        <v/>
      </c>
      <c r="E42">
        <f>IF($A42="","",IFERROR(SUMIFS(Imported!$E$2:$E$151,Imported!$B$2:$B$151,$B42&amp;"",Imported!$C$2:$C$151,$C42&amp;""),0))</f>
        <v/>
      </c>
      <c r="F42" s="16">
        <f>IF($A42="","",IFERROR(SUMIFS(Imported!$F$2:$F$151,Imported!$B$2:$B$151,$B42&amp;"",Imported!$C$2:$C$151,$C42&amp;""),0))</f>
        <v/>
      </c>
      <c r="G42">
        <f>IF($A42="","",IFERROR(SUMIFS(Imported!$G$2:$G$151,Imported!$B$2:$B$151,$B42&amp;"",Imported!$C$2:$C$151,$C42&amp;""),0))</f>
        <v/>
      </c>
      <c r="H42">
        <f>IF($A42="","",IFERROR(SUMIFS(Imported!$H$2:$H$151,Imported!$B$2:$B$151,$B42&amp;"",Imported!$C$2:$C$151,$C42&amp;""),0))</f>
        <v/>
      </c>
    </row>
    <row r="43">
      <c r="A43">
        <f>IF(Roster!A43="","",Roster!A43)</f>
        <v/>
      </c>
      <c r="B43">
        <f>IF($A43="","",Roster!B43)</f>
        <v/>
      </c>
      <c r="C43">
        <f>IF($A43="","",Roster!C43)</f>
        <v/>
      </c>
      <c r="D43">
        <f>IF($A43="","",IFERROR(SUMIFS(Imported!$D$2:$D$151,Imported!$B$2:$B$151,$B43&amp;"",Imported!$C$2:$C$151,$C43&amp;""),0))</f>
        <v/>
      </c>
      <c r="E43">
        <f>IF($A43="","",IFERROR(SUMIFS(Imported!$E$2:$E$151,Imported!$B$2:$B$151,$B43&amp;"",Imported!$C$2:$C$151,$C43&amp;""),0))</f>
        <v/>
      </c>
      <c r="F43" s="16">
        <f>IF($A43="","",IFERROR(SUMIFS(Imported!$F$2:$F$151,Imported!$B$2:$B$151,$B43&amp;"",Imported!$C$2:$C$151,$C43&amp;""),0))</f>
        <v/>
      </c>
      <c r="G43">
        <f>IF($A43="","",IFERROR(SUMIFS(Imported!$G$2:$G$151,Imported!$B$2:$B$151,$B43&amp;"",Imported!$C$2:$C$151,$C43&amp;""),0))</f>
        <v/>
      </c>
      <c r="H43">
        <f>IF($A43="","",IFERROR(SUMIFS(Imported!$H$2:$H$151,Imported!$B$2:$B$151,$B43&amp;"",Imported!$C$2:$C$151,$C43&amp;""),0))</f>
        <v/>
      </c>
    </row>
    <row r="44">
      <c r="A44">
        <f>IF(Roster!A44="","",Roster!A44)</f>
        <v/>
      </c>
      <c r="B44">
        <f>IF($A44="","",Roster!B44)</f>
        <v/>
      </c>
      <c r="C44">
        <f>IF($A44="","",Roster!C44)</f>
        <v/>
      </c>
      <c r="D44">
        <f>IF($A44="","",IFERROR(SUMIFS(Imported!$D$2:$D$151,Imported!$B$2:$B$151,$B44&amp;"",Imported!$C$2:$C$151,$C44&amp;""),0))</f>
        <v/>
      </c>
      <c r="E44">
        <f>IF($A44="","",IFERROR(SUMIFS(Imported!$E$2:$E$151,Imported!$B$2:$B$151,$B44&amp;"",Imported!$C$2:$C$151,$C44&amp;""),0))</f>
        <v/>
      </c>
      <c r="F44" s="16">
        <f>IF($A44="","",IFERROR(SUMIFS(Imported!$F$2:$F$151,Imported!$B$2:$B$151,$B44&amp;"",Imported!$C$2:$C$151,$C44&amp;""),0))</f>
        <v/>
      </c>
      <c r="G44">
        <f>IF($A44="","",IFERROR(SUMIFS(Imported!$G$2:$G$151,Imported!$B$2:$B$151,$B44&amp;"",Imported!$C$2:$C$151,$C44&amp;""),0))</f>
        <v/>
      </c>
      <c r="H44">
        <f>IF($A44="","",IFERROR(SUMIFS(Imported!$H$2:$H$151,Imported!$B$2:$B$151,$B44&amp;"",Imported!$C$2:$C$151,$C44&amp;""),0))</f>
        <v/>
      </c>
    </row>
    <row r="45">
      <c r="A45">
        <f>IF(Roster!A45="","",Roster!A45)</f>
        <v/>
      </c>
      <c r="B45">
        <f>IF($A45="","",Roster!B45)</f>
        <v/>
      </c>
      <c r="C45">
        <f>IF($A45="","",Roster!C45)</f>
        <v/>
      </c>
      <c r="D45">
        <f>IF($A45="","",IFERROR(SUMIFS(Imported!$D$2:$D$151,Imported!$B$2:$B$151,$B45&amp;"",Imported!$C$2:$C$151,$C45&amp;""),0))</f>
        <v/>
      </c>
      <c r="E45">
        <f>IF($A45="","",IFERROR(SUMIFS(Imported!$E$2:$E$151,Imported!$B$2:$B$151,$B45&amp;"",Imported!$C$2:$C$151,$C45&amp;""),0))</f>
        <v/>
      </c>
      <c r="F45" s="16">
        <f>IF($A45="","",IFERROR(SUMIFS(Imported!$F$2:$F$151,Imported!$B$2:$B$151,$B45&amp;"",Imported!$C$2:$C$151,$C45&amp;""),0))</f>
        <v/>
      </c>
      <c r="G45">
        <f>IF($A45="","",IFERROR(SUMIFS(Imported!$G$2:$G$151,Imported!$B$2:$B$151,$B45&amp;"",Imported!$C$2:$C$151,$C45&amp;""),0))</f>
        <v/>
      </c>
      <c r="H45">
        <f>IF($A45="","",IFERROR(SUMIFS(Imported!$H$2:$H$151,Imported!$B$2:$B$151,$B45&amp;"",Imported!$C$2:$C$151,$C45&amp;""),0))</f>
        <v/>
      </c>
    </row>
    <row r="46">
      <c r="A46">
        <f>IF(Roster!A46="","",Roster!A46)</f>
        <v/>
      </c>
      <c r="B46">
        <f>IF($A46="","",Roster!B46)</f>
        <v/>
      </c>
      <c r="C46">
        <f>IF($A46="","",Roster!C46)</f>
        <v/>
      </c>
      <c r="D46">
        <f>IF($A46="","",IFERROR(SUMIFS(Imported!$D$2:$D$151,Imported!$B$2:$B$151,$B46&amp;"",Imported!$C$2:$C$151,$C46&amp;""),0))</f>
        <v/>
      </c>
      <c r="E46">
        <f>IF($A46="","",IFERROR(SUMIFS(Imported!$E$2:$E$151,Imported!$B$2:$B$151,$B46&amp;"",Imported!$C$2:$C$151,$C46&amp;""),0))</f>
        <v/>
      </c>
      <c r="F46" s="16">
        <f>IF($A46="","",IFERROR(SUMIFS(Imported!$F$2:$F$151,Imported!$B$2:$B$151,$B46&amp;"",Imported!$C$2:$C$151,$C46&amp;""),0))</f>
        <v/>
      </c>
      <c r="G46">
        <f>IF($A46="","",IFERROR(SUMIFS(Imported!$G$2:$G$151,Imported!$B$2:$B$151,$B46&amp;"",Imported!$C$2:$C$151,$C46&amp;""),0))</f>
        <v/>
      </c>
      <c r="H46">
        <f>IF($A46="","",IFERROR(SUMIFS(Imported!$H$2:$H$151,Imported!$B$2:$B$151,$B46&amp;"",Imported!$C$2:$C$151,$C46&amp;""),0))</f>
        <v/>
      </c>
    </row>
    <row r="47">
      <c r="A47">
        <f>IF(Roster!A47="","",Roster!A47)</f>
        <v/>
      </c>
      <c r="B47">
        <f>IF($A47="","",Roster!B47)</f>
        <v/>
      </c>
      <c r="C47">
        <f>IF($A47="","",Roster!C47)</f>
        <v/>
      </c>
      <c r="D47">
        <f>IF($A47="","",IFERROR(SUMIFS(Imported!$D$2:$D$151,Imported!$B$2:$B$151,$B47&amp;"",Imported!$C$2:$C$151,$C47&amp;""),0))</f>
        <v/>
      </c>
      <c r="E47">
        <f>IF($A47="","",IFERROR(SUMIFS(Imported!$E$2:$E$151,Imported!$B$2:$B$151,$B47&amp;"",Imported!$C$2:$C$151,$C47&amp;""),0))</f>
        <v/>
      </c>
      <c r="F47" s="16">
        <f>IF($A47="","",IFERROR(SUMIFS(Imported!$F$2:$F$151,Imported!$B$2:$B$151,$B47&amp;"",Imported!$C$2:$C$151,$C47&amp;""),0))</f>
        <v/>
      </c>
      <c r="G47">
        <f>IF($A47="","",IFERROR(SUMIFS(Imported!$G$2:$G$151,Imported!$B$2:$B$151,$B47&amp;"",Imported!$C$2:$C$151,$C47&amp;""),0))</f>
        <v/>
      </c>
      <c r="H47">
        <f>IF($A47="","",IFERROR(SUMIFS(Imported!$H$2:$H$151,Imported!$B$2:$B$151,$B47&amp;"",Imported!$C$2:$C$151,$C47&amp;""),0))</f>
        <v/>
      </c>
    </row>
    <row r="48">
      <c r="A48">
        <f>IF(Roster!A48="","",Roster!A48)</f>
        <v/>
      </c>
      <c r="B48">
        <f>IF($A48="","",Roster!B48)</f>
        <v/>
      </c>
      <c r="C48">
        <f>IF($A48="","",Roster!C48)</f>
        <v/>
      </c>
      <c r="D48">
        <f>IF($A48="","",IFERROR(SUMIFS(Imported!$D$2:$D$151,Imported!$B$2:$B$151,$B48&amp;"",Imported!$C$2:$C$151,$C48&amp;""),0))</f>
        <v/>
      </c>
      <c r="E48">
        <f>IF($A48="","",IFERROR(SUMIFS(Imported!$E$2:$E$151,Imported!$B$2:$B$151,$B48&amp;"",Imported!$C$2:$C$151,$C48&amp;""),0))</f>
        <v/>
      </c>
      <c r="F48" s="16">
        <f>IF($A48="","",IFERROR(SUMIFS(Imported!$F$2:$F$151,Imported!$B$2:$B$151,$B48&amp;"",Imported!$C$2:$C$151,$C48&amp;""),0))</f>
        <v/>
      </c>
      <c r="G48">
        <f>IF($A48="","",IFERROR(SUMIFS(Imported!$G$2:$G$151,Imported!$B$2:$B$151,$B48&amp;"",Imported!$C$2:$C$151,$C48&amp;""),0))</f>
        <v/>
      </c>
      <c r="H48">
        <f>IF($A48="","",IFERROR(SUMIFS(Imported!$H$2:$H$151,Imported!$B$2:$B$151,$B48&amp;"",Imported!$C$2:$C$151,$C48&amp;""),0))</f>
        <v/>
      </c>
    </row>
    <row r="49">
      <c r="A49">
        <f>IF(Roster!A49="","",Roster!A49)</f>
        <v/>
      </c>
      <c r="B49">
        <f>IF($A49="","",Roster!B49)</f>
        <v/>
      </c>
      <c r="C49">
        <f>IF($A49="","",Roster!C49)</f>
        <v/>
      </c>
      <c r="D49">
        <f>IF($A49="","",IFERROR(SUMIFS(Imported!$D$2:$D$151,Imported!$B$2:$B$151,$B49&amp;"",Imported!$C$2:$C$151,$C49&amp;""),0))</f>
        <v/>
      </c>
      <c r="E49">
        <f>IF($A49="","",IFERROR(SUMIFS(Imported!$E$2:$E$151,Imported!$B$2:$B$151,$B49&amp;"",Imported!$C$2:$C$151,$C49&amp;""),0))</f>
        <v/>
      </c>
      <c r="F49" s="16">
        <f>IF($A49="","",IFERROR(SUMIFS(Imported!$F$2:$F$151,Imported!$B$2:$B$151,$B49&amp;"",Imported!$C$2:$C$151,$C49&amp;""),0))</f>
        <v/>
      </c>
      <c r="G49">
        <f>IF($A49="","",IFERROR(SUMIFS(Imported!$G$2:$G$151,Imported!$B$2:$B$151,$B49&amp;"",Imported!$C$2:$C$151,$C49&amp;""),0))</f>
        <v/>
      </c>
      <c r="H49">
        <f>IF($A49="","",IFERROR(SUMIFS(Imported!$H$2:$H$151,Imported!$B$2:$B$151,$B49&amp;"",Imported!$C$2:$C$151,$C49&amp;""),0))</f>
        <v/>
      </c>
    </row>
    <row r="50">
      <c r="A50">
        <f>IF(Roster!A50="","",Roster!A50)</f>
        <v/>
      </c>
      <c r="B50">
        <f>IF($A50="","",Roster!B50)</f>
        <v/>
      </c>
      <c r="C50">
        <f>IF($A50="","",Roster!C50)</f>
        <v/>
      </c>
      <c r="D50">
        <f>IF($A50="","",IFERROR(SUMIFS(Imported!$D$2:$D$151,Imported!$B$2:$B$151,$B50&amp;"",Imported!$C$2:$C$151,$C50&amp;""),0))</f>
        <v/>
      </c>
      <c r="E50">
        <f>IF($A50="","",IFERROR(SUMIFS(Imported!$E$2:$E$151,Imported!$B$2:$B$151,$B50&amp;"",Imported!$C$2:$C$151,$C50&amp;""),0))</f>
        <v/>
      </c>
      <c r="F50" s="16">
        <f>IF($A50="","",IFERROR(SUMIFS(Imported!$F$2:$F$151,Imported!$B$2:$B$151,$B50&amp;"",Imported!$C$2:$C$151,$C50&amp;""),0))</f>
        <v/>
      </c>
      <c r="G50">
        <f>IF($A50="","",IFERROR(SUMIFS(Imported!$G$2:$G$151,Imported!$B$2:$B$151,$B50&amp;"",Imported!$C$2:$C$151,$C50&amp;""),0))</f>
        <v/>
      </c>
      <c r="H50">
        <f>IF($A50="","",IFERROR(SUMIFS(Imported!$H$2:$H$151,Imported!$B$2:$B$151,$B50&amp;"",Imported!$C$2:$C$151,$C50&amp;""),0))</f>
        <v/>
      </c>
    </row>
    <row r="51">
      <c r="A51">
        <f>IF(Roster!A51="","",Roster!A51)</f>
        <v/>
      </c>
      <c r="B51">
        <f>IF($A51="","",Roster!B51)</f>
        <v/>
      </c>
      <c r="C51">
        <f>IF($A51="","",Roster!C51)</f>
        <v/>
      </c>
      <c r="D51">
        <f>IF($A51="","",IFERROR(SUMIFS(Imported!$D$2:$D$151,Imported!$B$2:$B$151,$B51&amp;"",Imported!$C$2:$C$151,$C51&amp;""),0))</f>
        <v/>
      </c>
      <c r="E51">
        <f>IF($A51="","",IFERROR(SUMIFS(Imported!$E$2:$E$151,Imported!$B$2:$B$151,$B51&amp;"",Imported!$C$2:$C$151,$C51&amp;""),0))</f>
        <v/>
      </c>
      <c r="F51" s="16">
        <f>IF($A51="","",IFERROR(SUMIFS(Imported!$F$2:$F$151,Imported!$B$2:$B$151,$B51&amp;"",Imported!$C$2:$C$151,$C51&amp;""),0))</f>
        <v/>
      </c>
      <c r="G51">
        <f>IF($A51="","",IFERROR(SUMIFS(Imported!$G$2:$G$151,Imported!$B$2:$B$151,$B51&amp;"",Imported!$C$2:$C$151,$C51&amp;""),0))</f>
        <v/>
      </c>
      <c r="H51">
        <f>IF($A51="","",IFERROR(SUMIFS(Imported!$H$2:$H$151,Imported!$B$2:$B$151,$B51&amp;"",Imported!$C$2:$C$151,$C51&amp;""),0))</f>
        <v/>
      </c>
    </row>
    <row r="52">
      <c r="A52">
        <f>IF(Roster!A52="","",Roster!A52)</f>
        <v/>
      </c>
      <c r="B52">
        <f>IF($A52="","",Roster!B52)</f>
        <v/>
      </c>
      <c r="C52">
        <f>IF($A52="","",Roster!C52)</f>
        <v/>
      </c>
      <c r="D52">
        <f>IF($A52="","",IFERROR(SUMIFS(Imported!$D$2:$D$151,Imported!$B$2:$B$151,$B52&amp;"",Imported!$C$2:$C$151,$C52&amp;""),0))</f>
        <v/>
      </c>
      <c r="E52">
        <f>IF($A52="","",IFERROR(SUMIFS(Imported!$E$2:$E$151,Imported!$B$2:$B$151,$B52&amp;"",Imported!$C$2:$C$151,$C52&amp;""),0))</f>
        <v/>
      </c>
      <c r="F52" s="16">
        <f>IF($A52="","",IFERROR(SUMIFS(Imported!$F$2:$F$151,Imported!$B$2:$B$151,$B52&amp;"",Imported!$C$2:$C$151,$C52&amp;""),0))</f>
        <v/>
      </c>
      <c r="G52">
        <f>IF($A52="","",IFERROR(SUMIFS(Imported!$G$2:$G$151,Imported!$B$2:$B$151,$B52&amp;"",Imported!$C$2:$C$151,$C52&amp;""),0))</f>
        <v/>
      </c>
      <c r="H52">
        <f>IF($A52="","",IFERROR(SUMIFS(Imported!$H$2:$H$151,Imported!$B$2:$B$151,$B52&amp;"",Imported!$C$2:$C$151,$C52&amp;""),0))</f>
        <v/>
      </c>
    </row>
    <row r="53">
      <c r="A53">
        <f>IF(Roster!A53="","",Roster!A53)</f>
        <v/>
      </c>
      <c r="B53">
        <f>IF($A53="","",Roster!B53)</f>
        <v/>
      </c>
      <c r="C53">
        <f>IF($A53="","",Roster!C53)</f>
        <v/>
      </c>
      <c r="D53">
        <f>IF($A53="","",IFERROR(SUMIFS(Imported!$D$2:$D$151,Imported!$B$2:$B$151,$B53&amp;"",Imported!$C$2:$C$151,$C53&amp;""),0))</f>
        <v/>
      </c>
      <c r="E53">
        <f>IF($A53="","",IFERROR(SUMIFS(Imported!$E$2:$E$151,Imported!$B$2:$B$151,$B53&amp;"",Imported!$C$2:$C$151,$C53&amp;""),0))</f>
        <v/>
      </c>
      <c r="F53" s="16">
        <f>IF($A53="","",IFERROR(SUMIFS(Imported!$F$2:$F$151,Imported!$B$2:$B$151,$B53&amp;"",Imported!$C$2:$C$151,$C53&amp;""),0))</f>
        <v/>
      </c>
      <c r="G53">
        <f>IF($A53="","",IFERROR(SUMIFS(Imported!$G$2:$G$151,Imported!$B$2:$B$151,$B53&amp;"",Imported!$C$2:$C$151,$C53&amp;""),0))</f>
        <v/>
      </c>
      <c r="H53">
        <f>IF($A53="","",IFERROR(SUMIFS(Imported!$H$2:$H$151,Imported!$B$2:$B$151,$B53&amp;"",Imported!$C$2:$C$151,$C53&amp;""),0))</f>
        <v/>
      </c>
    </row>
    <row r="54">
      <c r="A54">
        <f>IF(Roster!A54="","",Roster!A54)</f>
        <v/>
      </c>
      <c r="B54">
        <f>IF($A54="","",Roster!B54)</f>
        <v/>
      </c>
      <c r="C54">
        <f>IF($A54="","",Roster!C54)</f>
        <v/>
      </c>
      <c r="D54">
        <f>IF($A54="","",IFERROR(SUMIFS(Imported!$D$2:$D$151,Imported!$B$2:$B$151,$B54&amp;"",Imported!$C$2:$C$151,$C54&amp;""),0))</f>
        <v/>
      </c>
      <c r="E54">
        <f>IF($A54="","",IFERROR(SUMIFS(Imported!$E$2:$E$151,Imported!$B$2:$B$151,$B54&amp;"",Imported!$C$2:$C$151,$C54&amp;""),0))</f>
        <v/>
      </c>
      <c r="F54" s="16">
        <f>IF($A54="","",IFERROR(SUMIFS(Imported!$F$2:$F$151,Imported!$B$2:$B$151,$B54&amp;"",Imported!$C$2:$C$151,$C54&amp;""),0))</f>
        <v/>
      </c>
      <c r="G54">
        <f>IF($A54="","",IFERROR(SUMIFS(Imported!$G$2:$G$151,Imported!$B$2:$B$151,$B54&amp;"",Imported!$C$2:$C$151,$C54&amp;""),0))</f>
        <v/>
      </c>
      <c r="H54">
        <f>IF($A54="","",IFERROR(SUMIFS(Imported!$H$2:$H$151,Imported!$B$2:$B$151,$B54&amp;"",Imported!$C$2:$C$151,$C54&amp;""),0))</f>
        <v/>
      </c>
    </row>
    <row r="55">
      <c r="A55">
        <f>IF(Roster!A55="","",Roster!A55)</f>
        <v/>
      </c>
      <c r="B55">
        <f>IF($A55="","",Roster!B55)</f>
        <v/>
      </c>
      <c r="C55">
        <f>IF($A55="","",Roster!C55)</f>
        <v/>
      </c>
      <c r="D55">
        <f>IF($A55="","",IFERROR(SUMIFS(Imported!$D$2:$D$151,Imported!$B$2:$B$151,$B55&amp;"",Imported!$C$2:$C$151,$C55&amp;""),0))</f>
        <v/>
      </c>
      <c r="E55">
        <f>IF($A55="","",IFERROR(SUMIFS(Imported!$E$2:$E$151,Imported!$B$2:$B$151,$B55&amp;"",Imported!$C$2:$C$151,$C55&amp;""),0))</f>
        <v/>
      </c>
      <c r="F55" s="16">
        <f>IF($A55="","",IFERROR(SUMIFS(Imported!$F$2:$F$151,Imported!$B$2:$B$151,$B55&amp;"",Imported!$C$2:$C$151,$C55&amp;""),0))</f>
        <v/>
      </c>
      <c r="G55">
        <f>IF($A55="","",IFERROR(SUMIFS(Imported!$G$2:$G$151,Imported!$B$2:$B$151,$B55&amp;"",Imported!$C$2:$C$151,$C55&amp;""),0))</f>
        <v/>
      </c>
      <c r="H55">
        <f>IF($A55="","",IFERROR(SUMIFS(Imported!$H$2:$H$151,Imported!$B$2:$B$151,$B55&amp;"",Imported!$C$2:$C$151,$C55&amp;""),0))</f>
        <v/>
      </c>
    </row>
    <row r="56">
      <c r="A56">
        <f>IF(Roster!A56="","",Roster!A56)</f>
        <v/>
      </c>
      <c r="B56">
        <f>IF($A56="","",Roster!B56)</f>
        <v/>
      </c>
      <c r="C56">
        <f>IF($A56="","",Roster!C56)</f>
        <v/>
      </c>
      <c r="D56">
        <f>IF($A56="","",IFERROR(SUMIFS(Imported!$D$2:$D$151,Imported!$B$2:$B$151,$B56&amp;"",Imported!$C$2:$C$151,$C56&amp;""),0))</f>
        <v/>
      </c>
      <c r="E56">
        <f>IF($A56="","",IFERROR(SUMIFS(Imported!$E$2:$E$151,Imported!$B$2:$B$151,$B56&amp;"",Imported!$C$2:$C$151,$C56&amp;""),0))</f>
        <v/>
      </c>
      <c r="F56" s="16">
        <f>IF($A56="","",IFERROR(SUMIFS(Imported!$F$2:$F$151,Imported!$B$2:$B$151,$B56&amp;"",Imported!$C$2:$C$151,$C56&amp;""),0))</f>
        <v/>
      </c>
      <c r="G56">
        <f>IF($A56="","",IFERROR(SUMIFS(Imported!$G$2:$G$151,Imported!$B$2:$B$151,$B56&amp;"",Imported!$C$2:$C$151,$C56&amp;""),0))</f>
        <v/>
      </c>
      <c r="H56">
        <f>IF($A56="","",IFERROR(SUMIFS(Imported!$H$2:$H$151,Imported!$B$2:$B$151,$B56&amp;"",Imported!$C$2:$C$151,$C56&amp;""),0))</f>
        <v/>
      </c>
    </row>
    <row r="57">
      <c r="A57">
        <f>IF(Roster!A57="","",Roster!A57)</f>
        <v/>
      </c>
      <c r="B57">
        <f>IF($A57="","",Roster!B57)</f>
        <v/>
      </c>
      <c r="C57">
        <f>IF($A57="","",Roster!C57)</f>
        <v/>
      </c>
      <c r="D57">
        <f>IF($A57="","",IFERROR(SUMIFS(Imported!$D$2:$D$151,Imported!$B$2:$B$151,$B57&amp;"",Imported!$C$2:$C$151,$C57&amp;""),0))</f>
        <v/>
      </c>
      <c r="E57">
        <f>IF($A57="","",IFERROR(SUMIFS(Imported!$E$2:$E$151,Imported!$B$2:$B$151,$B57&amp;"",Imported!$C$2:$C$151,$C57&amp;""),0))</f>
        <v/>
      </c>
      <c r="F57" s="16">
        <f>IF($A57="","",IFERROR(SUMIFS(Imported!$F$2:$F$151,Imported!$B$2:$B$151,$B57&amp;"",Imported!$C$2:$C$151,$C57&amp;""),0))</f>
        <v/>
      </c>
      <c r="G57">
        <f>IF($A57="","",IFERROR(SUMIFS(Imported!$G$2:$G$151,Imported!$B$2:$B$151,$B57&amp;"",Imported!$C$2:$C$151,$C57&amp;""),0))</f>
        <v/>
      </c>
      <c r="H57">
        <f>IF($A57="","",IFERROR(SUMIFS(Imported!$H$2:$H$151,Imported!$B$2:$B$151,$B57&amp;"",Imported!$C$2:$C$151,$C57&amp;""),0))</f>
        <v/>
      </c>
    </row>
    <row r="58">
      <c r="A58">
        <f>IF(Roster!A58="","",Roster!A58)</f>
        <v/>
      </c>
      <c r="B58">
        <f>IF($A58="","",Roster!B58)</f>
        <v/>
      </c>
      <c r="C58">
        <f>IF($A58="","",Roster!C58)</f>
        <v/>
      </c>
      <c r="D58">
        <f>IF($A58="","",IFERROR(SUMIFS(Imported!$D$2:$D$151,Imported!$B$2:$B$151,$B58&amp;"",Imported!$C$2:$C$151,$C58&amp;""),0))</f>
        <v/>
      </c>
      <c r="E58">
        <f>IF($A58="","",IFERROR(SUMIFS(Imported!$E$2:$E$151,Imported!$B$2:$B$151,$B58&amp;"",Imported!$C$2:$C$151,$C58&amp;""),0))</f>
        <v/>
      </c>
      <c r="F58" s="16">
        <f>IF($A58="","",IFERROR(SUMIFS(Imported!$F$2:$F$151,Imported!$B$2:$B$151,$B58&amp;"",Imported!$C$2:$C$151,$C58&amp;""),0))</f>
        <v/>
      </c>
      <c r="G58">
        <f>IF($A58="","",IFERROR(SUMIFS(Imported!$G$2:$G$151,Imported!$B$2:$B$151,$B58&amp;"",Imported!$C$2:$C$151,$C58&amp;""),0))</f>
        <v/>
      </c>
      <c r="H58">
        <f>IF($A58="","",IFERROR(SUMIFS(Imported!$H$2:$H$151,Imported!$B$2:$B$151,$B58&amp;"",Imported!$C$2:$C$151,$C58&amp;""),0))</f>
        <v/>
      </c>
    </row>
    <row r="59">
      <c r="A59">
        <f>IF(Roster!A59="","",Roster!A59)</f>
        <v/>
      </c>
      <c r="B59">
        <f>IF($A59="","",Roster!B59)</f>
        <v/>
      </c>
      <c r="C59">
        <f>IF($A59="","",Roster!C59)</f>
        <v/>
      </c>
      <c r="D59">
        <f>IF($A59="","",IFERROR(SUMIFS(Imported!$D$2:$D$151,Imported!$B$2:$B$151,$B59&amp;"",Imported!$C$2:$C$151,$C59&amp;""),0))</f>
        <v/>
      </c>
      <c r="E59">
        <f>IF($A59="","",IFERROR(SUMIFS(Imported!$E$2:$E$151,Imported!$B$2:$B$151,$B59&amp;"",Imported!$C$2:$C$151,$C59&amp;""),0))</f>
        <v/>
      </c>
      <c r="F59" s="16">
        <f>IF($A59="","",IFERROR(SUMIFS(Imported!$F$2:$F$151,Imported!$B$2:$B$151,$B59&amp;"",Imported!$C$2:$C$151,$C59&amp;""),0))</f>
        <v/>
      </c>
      <c r="G59">
        <f>IF($A59="","",IFERROR(SUMIFS(Imported!$G$2:$G$151,Imported!$B$2:$B$151,$B59&amp;"",Imported!$C$2:$C$151,$C59&amp;""),0))</f>
        <v/>
      </c>
      <c r="H59">
        <f>IF($A59="","",IFERROR(SUMIFS(Imported!$H$2:$H$151,Imported!$B$2:$B$151,$B59&amp;"",Imported!$C$2:$C$151,$C59&amp;""),0))</f>
        <v/>
      </c>
    </row>
    <row r="60">
      <c r="A60">
        <f>IF(Roster!A60="","",Roster!A60)</f>
        <v/>
      </c>
      <c r="B60">
        <f>IF($A60="","",Roster!B60)</f>
        <v/>
      </c>
      <c r="C60">
        <f>IF($A60="","",Roster!C60)</f>
        <v/>
      </c>
      <c r="D60">
        <f>IF($A60="","",IFERROR(SUMIFS(Imported!$D$2:$D$151,Imported!$B$2:$B$151,$B60&amp;"",Imported!$C$2:$C$151,$C60&amp;""),0))</f>
        <v/>
      </c>
      <c r="E60">
        <f>IF($A60="","",IFERROR(SUMIFS(Imported!$E$2:$E$151,Imported!$B$2:$B$151,$B60&amp;"",Imported!$C$2:$C$151,$C60&amp;""),0))</f>
        <v/>
      </c>
      <c r="F60" s="16">
        <f>IF($A60="","",IFERROR(SUMIFS(Imported!$F$2:$F$151,Imported!$B$2:$B$151,$B60&amp;"",Imported!$C$2:$C$151,$C60&amp;""),0))</f>
        <v/>
      </c>
      <c r="G60">
        <f>IF($A60="","",IFERROR(SUMIFS(Imported!$G$2:$G$151,Imported!$B$2:$B$151,$B60&amp;"",Imported!$C$2:$C$151,$C60&amp;""),0))</f>
        <v/>
      </c>
      <c r="H60">
        <f>IF($A60="","",IFERROR(SUMIFS(Imported!$H$2:$H$151,Imported!$B$2:$B$151,$B60&amp;"",Imported!$C$2:$C$151,$C60&amp;""),0))</f>
        <v/>
      </c>
    </row>
    <row r="61">
      <c r="A61">
        <f>IF(Roster!A61="","",Roster!A61)</f>
        <v/>
      </c>
      <c r="B61">
        <f>IF($A61="","",Roster!B61)</f>
        <v/>
      </c>
      <c r="C61">
        <f>IF($A61="","",Roster!C61)</f>
        <v/>
      </c>
      <c r="D61">
        <f>IF($A61="","",IFERROR(SUMIFS(Imported!$D$2:$D$151,Imported!$B$2:$B$151,$B61&amp;"",Imported!$C$2:$C$151,$C61&amp;""),0))</f>
        <v/>
      </c>
      <c r="E61">
        <f>IF($A61="","",IFERROR(SUMIFS(Imported!$E$2:$E$151,Imported!$B$2:$B$151,$B61&amp;"",Imported!$C$2:$C$151,$C61&amp;""),0))</f>
        <v/>
      </c>
      <c r="F61" s="16">
        <f>IF($A61="","",IFERROR(SUMIFS(Imported!$F$2:$F$151,Imported!$B$2:$B$151,$B61&amp;"",Imported!$C$2:$C$151,$C61&amp;""),0))</f>
        <v/>
      </c>
      <c r="G61">
        <f>IF($A61="","",IFERROR(SUMIFS(Imported!$G$2:$G$151,Imported!$B$2:$B$151,$B61&amp;"",Imported!$C$2:$C$151,$C61&amp;""),0))</f>
        <v/>
      </c>
      <c r="H61">
        <f>IF($A61="","",IFERROR(SUMIFS(Imported!$H$2:$H$151,Imported!$B$2:$B$151,$B61&amp;"",Imported!$C$2:$C$151,$C61&amp;""),0))</f>
        <v/>
      </c>
    </row>
    <row r="62">
      <c r="A62">
        <f>IF(Roster!A62="","",Roster!A62)</f>
        <v/>
      </c>
      <c r="B62">
        <f>IF($A62="","",Roster!B62)</f>
        <v/>
      </c>
      <c r="C62">
        <f>IF($A62="","",Roster!C62)</f>
        <v/>
      </c>
      <c r="D62">
        <f>IF($A62="","",IFERROR(SUMIFS(Imported!$D$2:$D$151,Imported!$B$2:$B$151,$B62&amp;"",Imported!$C$2:$C$151,$C62&amp;""),0))</f>
        <v/>
      </c>
      <c r="E62">
        <f>IF($A62="","",IFERROR(SUMIFS(Imported!$E$2:$E$151,Imported!$B$2:$B$151,$B62&amp;"",Imported!$C$2:$C$151,$C62&amp;""),0))</f>
        <v/>
      </c>
      <c r="F62" s="16">
        <f>IF($A62="","",IFERROR(SUMIFS(Imported!$F$2:$F$151,Imported!$B$2:$B$151,$B62&amp;"",Imported!$C$2:$C$151,$C62&amp;""),0))</f>
        <v/>
      </c>
      <c r="G62">
        <f>IF($A62="","",IFERROR(SUMIFS(Imported!$G$2:$G$151,Imported!$B$2:$B$151,$B62&amp;"",Imported!$C$2:$C$151,$C62&amp;""),0))</f>
        <v/>
      </c>
      <c r="H62">
        <f>IF($A62="","",IFERROR(SUMIFS(Imported!$H$2:$H$151,Imported!$B$2:$B$151,$B62&amp;"",Imported!$C$2:$C$151,$C62&amp;""),0))</f>
        <v/>
      </c>
    </row>
    <row r="63">
      <c r="A63">
        <f>IF(Roster!A63="","",Roster!A63)</f>
        <v/>
      </c>
      <c r="B63">
        <f>IF($A63="","",Roster!B63)</f>
        <v/>
      </c>
      <c r="C63">
        <f>IF($A63="","",Roster!C63)</f>
        <v/>
      </c>
      <c r="D63">
        <f>IF($A63="","",IFERROR(SUMIFS(Imported!$D$2:$D$151,Imported!$B$2:$B$151,$B63&amp;"",Imported!$C$2:$C$151,$C63&amp;""),0))</f>
        <v/>
      </c>
      <c r="E63">
        <f>IF($A63="","",IFERROR(SUMIFS(Imported!$E$2:$E$151,Imported!$B$2:$B$151,$B63&amp;"",Imported!$C$2:$C$151,$C63&amp;""),0))</f>
        <v/>
      </c>
      <c r="F63" s="16">
        <f>IF($A63="","",IFERROR(SUMIFS(Imported!$F$2:$F$151,Imported!$B$2:$B$151,$B63&amp;"",Imported!$C$2:$C$151,$C63&amp;""),0))</f>
        <v/>
      </c>
      <c r="G63">
        <f>IF($A63="","",IFERROR(SUMIFS(Imported!$G$2:$G$151,Imported!$B$2:$B$151,$B63&amp;"",Imported!$C$2:$C$151,$C63&amp;""),0))</f>
        <v/>
      </c>
      <c r="H63">
        <f>IF($A63="","",IFERROR(SUMIFS(Imported!$H$2:$H$151,Imported!$B$2:$B$151,$B63&amp;"",Imported!$C$2:$C$151,$C63&amp;""),0))</f>
        <v/>
      </c>
    </row>
    <row r="64">
      <c r="A64">
        <f>IF(Roster!A64="","",Roster!A64)</f>
        <v/>
      </c>
      <c r="B64">
        <f>IF($A64="","",Roster!B64)</f>
        <v/>
      </c>
      <c r="C64">
        <f>IF($A64="","",Roster!C64)</f>
        <v/>
      </c>
      <c r="D64">
        <f>IF($A64="","",IFERROR(SUMIFS(Imported!$D$2:$D$151,Imported!$B$2:$B$151,$B64&amp;"",Imported!$C$2:$C$151,$C64&amp;""),0))</f>
        <v/>
      </c>
      <c r="E64">
        <f>IF($A64="","",IFERROR(SUMIFS(Imported!$E$2:$E$151,Imported!$B$2:$B$151,$B64&amp;"",Imported!$C$2:$C$151,$C64&amp;""),0))</f>
        <v/>
      </c>
      <c r="F64" s="16">
        <f>IF($A64="","",IFERROR(SUMIFS(Imported!$F$2:$F$151,Imported!$B$2:$B$151,$B64&amp;"",Imported!$C$2:$C$151,$C64&amp;""),0))</f>
        <v/>
      </c>
      <c r="G64">
        <f>IF($A64="","",IFERROR(SUMIFS(Imported!$G$2:$G$151,Imported!$B$2:$B$151,$B64&amp;"",Imported!$C$2:$C$151,$C64&amp;""),0))</f>
        <v/>
      </c>
      <c r="H64">
        <f>IF($A64="","",IFERROR(SUMIFS(Imported!$H$2:$H$151,Imported!$B$2:$B$151,$B64&amp;"",Imported!$C$2:$C$151,$C64&amp;""),0))</f>
        <v/>
      </c>
    </row>
    <row r="65">
      <c r="A65">
        <f>IF(Roster!A65="","",Roster!A65)</f>
        <v/>
      </c>
      <c r="B65">
        <f>IF($A65="","",Roster!B65)</f>
        <v/>
      </c>
      <c r="C65">
        <f>IF($A65="","",Roster!C65)</f>
        <v/>
      </c>
      <c r="D65">
        <f>IF($A65="","",IFERROR(SUMIFS(Imported!$D$2:$D$151,Imported!$B$2:$B$151,$B65&amp;"",Imported!$C$2:$C$151,$C65&amp;""),0))</f>
        <v/>
      </c>
      <c r="E65">
        <f>IF($A65="","",IFERROR(SUMIFS(Imported!$E$2:$E$151,Imported!$B$2:$B$151,$B65&amp;"",Imported!$C$2:$C$151,$C65&amp;""),0))</f>
        <v/>
      </c>
      <c r="F65" s="16">
        <f>IF($A65="","",IFERROR(SUMIFS(Imported!$F$2:$F$151,Imported!$B$2:$B$151,$B65&amp;"",Imported!$C$2:$C$151,$C65&amp;""),0))</f>
        <v/>
      </c>
      <c r="G65">
        <f>IF($A65="","",IFERROR(SUMIFS(Imported!$G$2:$G$151,Imported!$B$2:$B$151,$B65&amp;"",Imported!$C$2:$C$151,$C65&amp;""),0))</f>
        <v/>
      </c>
      <c r="H65">
        <f>IF($A65="","",IFERROR(SUMIFS(Imported!$H$2:$H$151,Imported!$B$2:$B$151,$B65&amp;"",Imported!$C$2:$C$151,$C65&amp;""),0))</f>
        <v/>
      </c>
    </row>
    <row r="66">
      <c r="A66">
        <f>IF(Roster!A66="","",Roster!A66)</f>
        <v/>
      </c>
      <c r="B66">
        <f>IF($A66="","",Roster!B66)</f>
        <v/>
      </c>
      <c r="C66">
        <f>IF($A66="","",Roster!C66)</f>
        <v/>
      </c>
      <c r="D66">
        <f>IF($A66="","",IFERROR(SUMIFS(Imported!$D$2:$D$151,Imported!$B$2:$B$151,$B66&amp;"",Imported!$C$2:$C$151,$C66&amp;""),0))</f>
        <v/>
      </c>
      <c r="E66">
        <f>IF($A66="","",IFERROR(SUMIFS(Imported!$E$2:$E$151,Imported!$B$2:$B$151,$B66&amp;"",Imported!$C$2:$C$151,$C66&amp;""),0))</f>
        <v/>
      </c>
      <c r="F66" s="16">
        <f>IF($A66="","",IFERROR(SUMIFS(Imported!$F$2:$F$151,Imported!$B$2:$B$151,$B66&amp;"",Imported!$C$2:$C$151,$C66&amp;""),0))</f>
        <v/>
      </c>
      <c r="G66">
        <f>IF($A66="","",IFERROR(SUMIFS(Imported!$G$2:$G$151,Imported!$B$2:$B$151,$B66&amp;"",Imported!$C$2:$C$151,$C66&amp;""),0))</f>
        <v/>
      </c>
      <c r="H66">
        <f>IF($A66="","",IFERROR(SUMIFS(Imported!$H$2:$H$151,Imported!$B$2:$B$151,$B66&amp;"",Imported!$C$2:$C$151,$C66&amp;""),0))</f>
        <v/>
      </c>
    </row>
    <row r="67">
      <c r="A67">
        <f>IF(Roster!A67="","",Roster!A67)</f>
        <v/>
      </c>
      <c r="B67">
        <f>IF($A67="","",Roster!B67)</f>
        <v/>
      </c>
      <c r="C67">
        <f>IF($A67="","",Roster!C67)</f>
        <v/>
      </c>
      <c r="D67">
        <f>IF($A67="","",IFERROR(SUMIFS(Imported!$D$2:$D$151,Imported!$B$2:$B$151,$B67&amp;"",Imported!$C$2:$C$151,$C67&amp;""),0))</f>
        <v/>
      </c>
      <c r="E67">
        <f>IF($A67="","",IFERROR(SUMIFS(Imported!$E$2:$E$151,Imported!$B$2:$B$151,$B67&amp;"",Imported!$C$2:$C$151,$C67&amp;""),0))</f>
        <v/>
      </c>
      <c r="F67" s="16">
        <f>IF($A67="","",IFERROR(SUMIFS(Imported!$F$2:$F$151,Imported!$B$2:$B$151,$B67&amp;"",Imported!$C$2:$C$151,$C67&amp;""),0))</f>
        <v/>
      </c>
      <c r="G67">
        <f>IF($A67="","",IFERROR(SUMIFS(Imported!$G$2:$G$151,Imported!$B$2:$B$151,$B67&amp;"",Imported!$C$2:$C$151,$C67&amp;""),0))</f>
        <v/>
      </c>
      <c r="H67">
        <f>IF($A67="","",IFERROR(SUMIFS(Imported!$H$2:$H$151,Imported!$B$2:$B$151,$B67&amp;"",Imported!$C$2:$C$151,$C67&amp;""),0))</f>
        <v/>
      </c>
    </row>
    <row r="68">
      <c r="A68">
        <f>IF(Roster!A68="","",Roster!A68)</f>
        <v/>
      </c>
      <c r="B68">
        <f>IF($A68="","",Roster!B68)</f>
        <v/>
      </c>
      <c r="C68">
        <f>IF($A68="","",Roster!C68)</f>
        <v/>
      </c>
      <c r="D68">
        <f>IF($A68="","",IFERROR(SUMIFS(Imported!$D$2:$D$151,Imported!$B$2:$B$151,$B68&amp;"",Imported!$C$2:$C$151,$C68&amp;""),0))</f>
        <v/>
      </c>
      <c r="E68">
        <f>IF($A68="","",IFERROR(SUMIFS(Imported!$E$2:$E$151,Imported!$B$2:$B$151,$B68&amp;"",Imported!$C$2:$C$151,$C68&amp;""),0))</f>
        <v/>
      </c>
      <c r="F68" s="16">
        <f>IF($A68="","",IFERROR(SUMIFS(Imported!$F$2:$F$151,Imported!$B$2:$B$151,$B68&amp;"",Imported!$C$2:$C$151,$C68&amp;""),0))</f>
        <v/>
      </c>
      <c r="G68">
        <f>IF($A68="","",IFERROR(SUMIFS(Imported!$G$2:$G$151,Imported!$B$2:$B$151,$B68&amp;"",Imported!$C$2:$C$151,$C68&amp;""),0))</f>
        <v/>
      </c>
      <c r="H68">
        <f>IF($A68="","",IFERROR(SUMIFS(Imported!$H$2:$H$151,Imported!$B$2:$B$151,$B68&amp;"",Imported!$C$2:$C$151,$C68&amp;""),0))</f>
        <v/>
      </c>
    </row>
    <row r="69">
      <c r="A69">
        <f>IF(Roster!A69="","",Roster!A69)</f>
        <v/>
      </c>
      <c r="B69">
        <f>IF($A69="","",Roster!B69)</f>
        <v/>
      </c>
      <c r="C69">
        <f>IF($A69="","",Roster!C69)</f>
        <v/>
      </c>
      <c r="D69">
        <f>IF($A69="","",IFERROR(SUMIFS(Imported!$D$2:$D$151,Imported!$B$2:$B$151,$B69&amp;"",Imported!$C$2:$C$151,$C69&amp;""),0))</f>
        <v/>
      </c>
      <c r="E69">
        <f>IF($A69="","",IFERROR(SUMIFS(Imported!$E$2:$E$151,Imported!$B$2:$B$151,$B69&amp;"",Imported!$C$2:$C$151,$C69&amp;""),0))</f>
        <v/>
      </c>
      <c r="F69" s="16">
        <f>IF($A69="","",IFERROR(SUMIFS(Imported!$F$2:$F$151,Imported!$B$2:$B$151,$B69&amp;"",Imported!$C$2:$C$151,$C69&amp;""),0))</f>
        <v/>
      </c>
      <c r="G69">
        <f>IF($A69="","",IFERROR(SUMIFS(Imported!$G$2:$G$151,Imported!$B$2:$B$151,$B69&amp;"",Imported!$C$2:$C$151,$C69&amp;""),0))</f>
        <v/>
      </c>
      <c r="H69">
        <f>IF($A69="","",IFERROR(SUMIFS(Imported!$H$2:$H$151,Imported!$B$2:$B$151,$B69&amp;"",Imported!$C$2:$C$151,$C69&amp;""),0))</f>
        <v/>
      </c>
    </row>
    <row r="70">
      <c r="A70">
        <f>IF(Roster!A70="","",Roster!A70)</f>
        <v/>
      </c>
      <c r="B70">
        <f>IF($A70="","",Roster!B70)</f>
        <v/>
      </c>
      <c r="C70">
        <f>IF($A70="","",Roster!C70)</f>
        <v/>
      </c>
      <c r="D70">
        <f>IF($A70="","",IFERROR(SUMIFS(Imported!$D$2:$D$151,Imported!$B$2:$B$151,$B70&amp;"",Imported!$C$2:$C$151,$C70&amp;""),0))</f>
        <v/>
      </c>
      <c r="E70">
        <f>IF($A70="","",IFERROR(SUMIFS(Imported!$E$2:$E$151,Imported!$B$2:$B$151,$B70&amp;"",Imported!$C$2:$C$151,$C70&amp;""),0))</f>
        <v/>
      </c>
      <c r="F70" s="16">
        <f>IF($A70="","",IFERROR(SUMIFS(Imported!$F$2:$F$151,Imported!$B$2:$B$151,$B70&amp;"",Imported!$C$2:$C$151,$C70&amp;""),0))</f>
        <v/>
      </c>
      <c r="G70">
        <f>IF($A70="","",IFERROR(SUMIFS(Imported!$G$2:$G$151,Imported!$B$2:$B$151,$B70&amp;"",Imported!$C$2:$C$151,$C70&amp;""),0))</f>
        <v/>
      </c>
      <c r="H70">
        <f>IF($A70="","",IFERROR(SUMIFS(Imported!$H$2:$H$151,Imported!$B$2:$B$151,$B70&amp;"",Imported!$C$2:$C$151,$C70&amp;""),0))</f>
        <v/>
      </c>
    </row>
    <row r="71">
      <c r="A71">
        <f>IF(Roster!A71="","",Roster!A71)</f>
        <v/>
      </c>
      <c r="B71">
        <f>IF($A71="","",Roster!B71)</f>
        <v/>
      </c>
      <c r="C71">
        <f>IF($A71="","",Roster!C71)</f>
        <v/>
      </c>
      <c r="D71">
        <f>IF($A71="","",IFERROR(SUMIFS(Imported!$D$2:$D$151,Imported!$B$2:$B$151,$B71&amp;"",Imported!$C$2:$C$151,$C71&amp;""),0))</f>
        <v/>
      </c>
      <c r="E71">
        <f>IF($A71="","",IFERROR(SUMIFS(Imported!$E$2:$E$151,Imported!$B$2:$B$151,$B71&amp;"",Imported!$C$2:$C$151,$C71&amp;""),0))</f>
        <v/>
      </c>
      <c r="F71" s="16">
        <f>IF($A71="","",IFERROR(SUMIFS(Imported!$F$2:$F$151,Imported!$B$2:$B$151,$B71&amp;"",Imported!$C$2:$C$151,$C71&amp;""),0))</f>
        <v/>
      </c>
      <c r="G71">
        <f>IF($A71="","",IFERROR(SUMIFS(Imported!$G$2:$G$151,Imported!$B$2:$B$151,$B71&amp;"",Imported!$C$2:$C$151,$C71&amp;""),0))</f>
        <v/>
      </c>
      <c r="H71">
        <f>IF($A71="","",IFERROR(SUMIFS(Imported!$H$2:$H$151,Imported!$B$2:$B$151,$B71&amp;"",Imported!$C$2:$C$151,$C71&amp;""),0))</f>
        <v/>
      </c>
    </row>
    <row r="72">
      <c r="A72">
        <f>IF(Roster!A72="","",Roster!A72)</f>
        <v/>
      </c>
      <c r="B72">
        <f>IF($A72="","",Roster!B72)</f>
        <v/>
      </c>
      <c r="C72">
        <f>IF($A72="","",Roster!C72)</f>
        <v/>
      </c>
      <c r="D72">
        <f>IF($A72="","",IFERROR(SUMIFS(Imported!$D$2:$D$151,Imported!$B$2:$B$151,$B72&amp;"",Imported!$C$2:$C$151,$C72&amp;""),0))</f>
        <v/>
      </c>
      <c r="E72">
        <f>IF($A72="","",IFERROR(SUMIFS(Imported!$E$2:$E$151,Imported!$B$2:$B$151,$B72&amp;"",Imported!$C$2:$C$151,$C72&amp;""),0))</f>
        <v/>
      </c>
      <c r="F72" s="16">
        <f>IF($A72="","",IFERROR(SUMIFS(Imported!$F$2:$F$151,Imported!$B$2:$B$151,$B72&amp;"",Imported!$C$2:$C$151,$C72&amp;""),0))</f>
        <v/>
      </c>
      <c r="G72">
        <f>IF($A72="","",IFERROR(SUMIFS(Imported!$G$2:$G$151,Imported!$B$2:$B$151,$B72&amp;"",Imported!$C$2:$C$151,$C72&amp;""),0))</f>
        <v/>
      </c>
      <c r="H72">
        <f>IF($A72="","",IFERROR(SUMIFS(Imported!$H$2:$H$151,Imported!$B$2:$B$151,$B72&amp;"",Imported!$C$2:$C$151,$C72&amp;""),0))</f>
        <v/>
      </c>
    </row>
    <row r="73">
      <c r="A73">
        <f>IF(Roster!A73="","",Roster!A73)</f>
        <v/>
      </c>
      <c r="B73">
        <f>IF($A73="","",Roster!B73)</f>
        <v/>
      </c>
      <c r="C73">
        <f>IF($A73="","",Roster!C73)</f>
        <v/>
      </c>
      <c r="D73">
        <f>IF($A73="","",IFERROR(SUMIFS(Imported!$D$2:$D$151,Imported!$B$2:$B$151,$B73&amp;"",Imported!$C$2:$C$151,$C73&amp;""),0))</f>
        <v/>
      </c>
      <c r="E73">
        <f>IF($A73="","",IFERROR(SUMIFS(Imported!$E$2:$E$151,Imported!$B$2:$B$151,$B73&amp;"",Imported!$C$2:$C$151,$C73&amp;""),0))</f>
        <v/>
      </c>
      <c r="F73" s="16">
        <f>IF($A73="","",IFERROR(SUMIFS(Imported!$F$2:$F$151,Imported!$B$2:$B$151,$B73&amp;"",Imported!$C$2:$C$151,$C73&amp;""),0))</f>
        <v/>
      </c>
      <c r="G73">
        <f>IF($A73="","",IFERROR(SUMIFS(Imported!$G$2:$G$151,Imported!$B$2:$B$151,$B73&amp;"",Imported!$C$2:$C$151,$C73&amp;""),0))</f>
        <v/>
      </c>
      <c r="H73">
        <f>IF($A73="","",IFERROR(SUMIFS(Imported!$H$2:$H$151,Imported!$B$2:$B$151,$B73&amp;"",Imported!$C$2:$C$151,$C73&amp;""),0))</f>
        <v/>
      </c>
    </row>
    <row r="74">
      <c r="A74">
        <f>IF(Roster!A74="","",Roster!A74)</f>
        <v/>
      </c>
      <c r="B74">
        <f>IF($A74="","",Roster!B74)</f>
        <v/>
      </c>
      <c r="C74">
        <f>IF($A74="","",Roster!C74)</f>
        <v/>
      </c>
      <c r="D74">
        <f>IF($A74="","",IFERROR(SUMIFS(Imported!$D$2:$D$151,Imported!$B$2:$B$151,$B74&amp;"",Imported!$C$2:$C$151,$C74&amp;""),0))</f>
        <v/>
      </c>
      <c r="E74">
        <f>IF($A74="","",IFERROR(SUMIFS(Imported!$E$2:$E$151,Imported!$B$2:$B$151,$B74&amp;"",Imported!$C$2:$C$151,$C74&amp;""),0))</f>
        <v/>
      </c>
      <c r="F74" s="16">
        <f>IF($A74="","",IFERROR(SUMIFS(Imported!$F$2:$F$151,Imported!$B$2:$B$151,$B74&amp;"",Imported!$C$2:$C$151,$C74&amp;""),0))</f>
        <v/>
      </c>
      <c r="G74">
        <f>IF($A74="","",IFERROR(SUMIFS(Imported!$G$2:$G$151,Imported!$B$2:$B$151,$B74&amp;"",Imported!$C$2:$C$151,$C74&amp;""),0))</f>
        <v/>
      </c>
      <c r="H74">
        <f>IF($A74="","",IFERROR(SUMIFS(Imported!$H$2:$H$151,Imported!$B$2:$B$151,$B74&amp;"",Imported!$C$2:$C$151,$C74&amp;""),0))</f>
        <v/>
      </c>
    </row>
    <row r="75">
      <c r="A75">
        <f>IF(Roster!A75="","",Roster!A75)</f>
        <v/>
      </c>
      <c r="B75">
        <f>IF($A75="","",Roster!B75)</f>
        <v/>
      </c>
      <c r="C75">
        <f>IF($A75="","",Roster!C75)</f>
        <v/>
      </c>
      <c r="D75">
        <f>IF($A75="","",IFERROR(SUMIFS(Imported!$D$2:$D$151,Imported!$B$2:$B$151,$B75&amp;"",Imported!$C$2:$C$151,$C75&amp;""),0))</f>
        <v/>
      </c>
      <c r="E75">
        <f>IF($A75="","",IFERROR(SUMIFS(Imported!$E$2:$E$151,Imported!$B$2:$B$151,$B75&amp;"",Imported!$C$2:$C$151,$C75&amp;""),0))</f>
        <v/>
      </c>
      <c r="F75" s="16">
        <f>IF($A75="","",IFERROR(SUMIFS(Imported!$F$2:$F$151,Imported!$B$2:$B$151,$B75&amp;"",Imported!$C$2:$C$151,$C75&amp;""),0))</f>
        <v/>
      </c>
      <c r="G75">
        <f>IF($A75="","",IFERROR(SUMIFS(Imported!$G$2:$G$151,Imported!$B$2:$B$151,$B75&amp;"",Imported!$C$2:$C$151,$C75&amp;""),0))</f>
        <v/>
      </c>
      <c r="H75">
        <f>IF($A75="","",IFERROR(SUMIFS(Imported!$H$2:$H$151,Imported!$B$2:$B$151,$B75&amp;"",Imported!$C$2:$C$151,$C75&amp;""),0))</f>
        <v/>
      </c>
    </row>
    <row r="76">
      <c r="A76">
        <f>IF(Roster!A76="","",Roster!A76)</f>
        <v/>
      </c>
      <c r="B76">
        <f>IF($A76="","",Roster!B76)</f>
        <v/>
      </c>
      <c r="C76">
        <f>IF($A76="","",Roster!C76)</f>
        <v/>
      </c>
      <c r="D76">
        <f>IF($A76="","",IFERROR(SUMIFS(Imported!$D$2:$D$151,Imported!$B$2:$B$151,$B76&amp;"",Imported!$C$2:$C$151,$C76&amp;""),0))</f>
        <v/>
      </c>
      <c r="E76">
        <f>IF($A76="","",IFERROR(SUMIFS(Imported!$E$2:$E$151,Imported!$B$2:$B$151,$B76&amp;"",Imported!$C$2:$C$151,$C76&amp;""),0))</f>
        <v/>
      </c>
      <c r="F76" s="16">
        <f>IF($A76="","",IFERROR(SUMIFS(Imported!$F$2:$F$151,Imported!$B$2:$B$151,$B76&amp;"",Imported!$C$2:$C$151,$C76&amp;""),0))</f>
        <v/>
      </c>
      <c r="G76">
        <f>IF($A76="","",IFERROR(SUMIFS(Imported!$G$2:$G$151,Imported!$B$2:$B$151,$B76&amp;"",Imported!$C$2:$C$151,$C76&amp;""),0))</f>
        <v/>
      </c>
      <c r="H76">
        <f>IF($A76="","",IFERROR(SUMIFS(Imported!$H$2:$H$151,Imported!$B$2:$B$151,$B76&amp;"",Imported!$C$2:$C$151,$C76&amp;""),0))</f>
        <v/>
      </c>
    </row>
    <row r="77">
      <c r="A77">
        <f>IF(Roster!A77="","",Roster!A77)</f>
        <v/>
      </c>
      <c r="B77">
        <f>IF($A77="","",Roster!B77)</f>
        <v/>
      </c>
      <c r="C77">
        <f>IF($A77="","",Roster!C77)</f>
        <v/>
      </c>
      <c r="D77">
        <f>IF($A77="","",IFERROR(SUMIFS(Imported!$D$2:$D$151,Imported!$B$2:$B$151,$B77&amp;"",Imported!$C$2:$C$151,$C77&amp;""),0))</f>
        <v/>
      </c>
      <c r="E77">
        <f>IF($A77="","",IFERROR(SUMIFS(Imported!$E$2:$E$151,Imported!$B$2:$B$151,$B77&amp;"",Imported!$C$2:$C$151,$C77&amp;""),0))</f>
        <v/>
      </c>
      <c r="F77" s="16">
        <f>IF($A77="","",IFERROR(SUMIFS(Imported!$F$2:$F$151,Imported!$B$2:$B$151,$B77&amp;"",Imported!$C$2:$C$151,$C77&amp;""),0))</f>
        <v/>
      </c>
      <c r="G77">
        <f>IF($A77="","",IFERROR(SUMIFS(Imported!$G$2:$G$151,Imported!$B$2:$B$151,$B77&amp;"",Imported!$C$2:$C$151,$C77&amp;""),0))</f>
        <v/>
      </c>
      <c r="H77">
        <f>IF($A77="","",IFERROR(SUMIFS(Imported!$H$2:$H$151,Imported!$B$2:$B$151,$B77&amp;"",Imported!$C$2:$C$151,$C77&amp;""),0))</f>
        <v/>
      </c>
    </row>
    <row r="78">
      <c r="A78">
        <f>IF(Roster!A78="","",Roster!A78)</f>
        <v/>
      </c>
      <c r="B78">
        <f>IF($A78="","",Roster!B78)</f>
        <v/>
      </c>
      <c r="C78">
        <f>IF($A78="","",Roster!C78)</f>
        <v/>
      </c>
      <c r="D78">
        <f>IF($A78="","",IFERROR(SUMIFS(Imported!$D$2:$D$151,Imported!$B$2:$B$151,$B78&amp;"",Imported!$C$2:$C$151,$C78&amp;""),0))</f>
        <v/>
      </c>
      <c r="E78">
        <f>IF($A78="","",IFERROR(SUMIFS(Imported!$E$2:$E$151,Imported!$B$2:$B$151,$B78&amp;"",Imported!$C$2:$C$151,$C78&amp;""),0))</f>
        <v/>
      </c>
      <c r="F78" s="16">
        <f>IF($A78="","",IFERROR(SUMIFS(Imported!$F$2:$F$151,Imported!$B$2:$B$151,$B78&amp;"",Imported!$C$2:$C$151,$C78&amp;""),0))</f>
        <v/>
      </c>
      <c r="G78">
        <f>IF($A78="","",IFERROR(SUMIFS(Imported!$G$2:$G$151,Imported!$B$2:$B$151,$B78&amp;"",Imported!$C$2:$C$151,$C78&amp;""),0))</f>
        <v/>
      </c>
      <c r="H78">
        <f>IF($A78="","",IFERROR(SUMIFS(Imported!$H$2:$H$151,Imported!$B$2:$B$151,$B78&amp;"",Imported!$C$2:$C$151,$C78&amp;""),0))</f>
        <v/>
      </c>
    </row>
    <row r="79">
      <c r="A79">
        <f>IF(Roster!A79="","",Roster!A79)</f>
        <v/>
      </c>
      <c r="B79">
        <f>IF($A79="","",Roster!B79)</f>
        <v/>
      </c>
      <c r="C79">
        <f>IF($A79="","",Roster!C79)</f>
        <v/>
      </c>
      <c r="D79">
        <f>IF($A79="","",IFERROR(SUMIFS(Imported!$D$2:$D$151,Imported!$B$2:$B$151,$B79&amp;"",Imported!$C$2:$C$151,$C79&amp;""),0))</f>
        <v/>
      </c>
      <c r="E79">
        <f>IF($A79="","",IFERROR(SUMIFS(Imported!$E$2:$E$151,Imported!$B$2:$B$151,$B79&amp;"",Imported!$C$2:$C$151,$C79&amp;""),0))</f>
        <v/>
      </c>
      <c r="F79" s="16">
        <f>IF($A79="","",IFERROR(SUMIFS(Imported!$F$2:$F$151,Imported!$B$2:$B$151,$B79&amp;"",Imported!$C$2:$C$151,$C79&amp;""),0))</f>
        <v/>
      </c>
      <c r="G79">
        <f>IF($A79="","",IFERROR(SUMIFS(Imported!$G$2:$G$151,Imported!$B$2:$B$151,$B79&amp;"",Imported!$C$2:$C$151,$C79&amp;""),0))</f>
        <v/>
      </c>
      <c r="H79">
        <f>IF($A79="","",IFERROR(SUMIFS(Imported!$H$2:$H$151,Imported!$B$2:$B$151,$B79&amp;"",Imported!$C$2:$C$151,$C79&amp;""),0))</f>
        <v/>
      </c>
    </row>
    <row r="80">
      <c r="A80">
        <f>IF(Roster!A80="","",Roster!A80)</f>
        <v/>
      </c>
      <c r="B80">
        <f>IF($A80="","",Roster!B80)</f>
        <v/>
      </c>
      <c r="C80">
        <f>IF($A80="","",Roster!C80)</f>
        <v/>
      </c>
      <c r="D80">
        <f>IF($A80="","",IFERROR(SUMIFS(Imported!$D$2:$D$151,Imported!$B$2:$B$151,$B80&amp;"",Imported!$C$2:$C$151,$C80&amp;""),0))</f>
        <v/>
      </c>
      <c r="E80">
        <f>IF($A80="","",IFERROR(SUMIFS(Imported!$E$2:$E$151,Imported!$B$2:$B$151,$B80&amp;"",Imported!$C$2:$C$151,$C80&amp;""),0))</f>
        <v/>
      </c>
      <c r="F80" s="16">
        <f>IF($A80="","",IFERROR(SUMIFS(Imported!$F$2:$F$151,Imported!$B$2:$B$151,$B80&amp;"",Imported!$C$2:$C$151,$C80&amp;""),0))</f>
        <v/>
      </c>
      <c r="G80">
        <f>IF($A80="","",IFERROR(SUMIFS(Imported!$G$2:$G$151,Imported!$B$2:$B$151,$B80&amp;"",Imported!$C$2:$C$151,$C80&amp;""),0))</f>
        <v/>
      </c>
      <c r="H80">
        <f>IF($A80="","",IFERROR(SUMIFS(Imported!$H$2:$H$151,Imported!$B$2:$B$151,$B80&amp;"",Imported!$C$2:$C$151,$C80&amp;""),0))</f>
        <v/>
      </c>
    </row>
    <row r="81">
      <c r="A81">
        <f>IF(Roster!A81="","",Roster!A81)</f>
        <v/>
      </c>
      <c r="B81">
        <f>IF($A81="","",Roster!B81)</f>
        <v/>
      </c>
      <c r="C81">
        <f>IF($A81="","",Roster!C81)</f>
        <v/>
      </c>
      <c r="D81">
        <f>IF($A81="","",IFERROR(SUMIFS(Imported!$D$2:$D$151,Imported!$B$2:$B$151,$B81&amp;"",Imported!$C$2:$C$151,$C81&amp;""),0))</f>
        <v/>
      </c>
      <c r="E81">
        <f>IF($A81="","",IFERROR(SUMIFS(Imported!$E$2:$E$151,Imported!$B$2:$B$151,$B81&amp;"",Imported!$C$2:$C$151,$C81&amp;""),0))</f>
        <v/>
      </c>
      <c r="F81" s="16">
        <f>IF($A81="","",IFERROR(SUMIFS(Imported!$F$2:$F$151,Imported!$B$2:$B$151,$B81&amp;"",Imported!$C$2:$C$151,$C81&amp;""),0))</f>
        <v/>
      </c>
      <c r="G81">
        <f>IF($A81="","",IFERROR(SUMIFS(Imported!$G$2:$G$151,Imported!$B$2:$B$151,$B81&amp;"",Imported!$C$2:$C$151,$C81&amp;""),0))</f>
        <v/>
      </c>
      <c r="H81">
        <f>IF($A81="","",IFERROR(SUMIFS(Imported!$H$2:$H$151,Imported!$B$2:$B$151,$B81&amp;"",Imported!$C$2:$C$151,$C81&amp;""),0))</f>
        <v/>
      </c>
    </row>
    <row r="82">
      <c r="A82">
        <f>IF(Roster!A82="","",Roster!A82)</f>
        <v/>
      </c>
      <c r="B82">
        <f>IF($A82="","",Roster!B82)</f>
        <v/>
      </c>
      <c r="C82">
        <f>IF($A82="","",Roster!C82)</f>
        <v/>
      </c>
      <c r="D82">
        <f>IF($A82="","",IFERROR(SUMIFS(Imported!$D$2:$D$151,Imported!$B$2:$B$151,$B82&amp;"",Imported!$C$2:$C$151,$C82&amp;""),0))</f>
        <v/>
      </c>
      <c r="E82">
        <f>IF($A82="","",IFERROR(SUMIFS(Imported!$E$2:$E$151,Imported!$B$2:$B$151,$B82&amp;"",Imported!$C$2:$C$151,$C82&amp;""),0))</f>
        <v/>
      </c>
      <c r="F82" s="16">
        <f>IF($A82="","",IFERROR(SUMIFS(Imported!$F$2:$F$151,Imported!$B$2:$B$151,$B82&amp;"",Imported!$C$2:$C$151,$C82&amp;""),0))</f>
        <v/>
      </c>
      <c r="G82">
        <f>IF($A82="","",IFERROR(SUMIFS(Imported!$G$2:$G$151,Imported!$B$2:$B$151,$B82&amp;"",Imported!$C$2:$C$151,$C82&amp;""),0))</f>
        <v/>
      </c>
      <c r="H82">
        <f>IF($A82="","",IFERROR(SUMIFS(Imported!$H$2:$H$151,Imported!$B$2:$B$151,$B82&amp;"",Imported!$C$2:$C$151,$C82&amp;""),0))</f>
        <v/>
      </c>
    </row>
    <row r="83">
      <c r="A83">
        <f>IF(Roster!A83="","",Roster!A83)</f>
        <v/>
      </c>
      <c r="B83">
        <f>IF($A83="","",Roster!B83)</f>
        <v/>
      </c>
      <c r="C83">
        <f>IF($A83="","",Roster!C83)</f>
        <v/>
      </c>
      <c r="D83">
        <f>IF($A83="","",IFERROR(SUMIFS(Imported!$D$2:$D$151,Imported!$B$2:$B$151,$B83&amp;"",Imported!$C$2:$C$151,$C83&amp;""),0))</f>
        <v/>
      </c>
      <c r="E83">
        <f>IF($A83="","",IFERROR(SUMIFS(Imported!$E$2:$E$151,Imported!$B$2:$B$151,$B83&amp;"",Imported!$C$2:$C$151,$C83&amp;""),0))</f>
        <v/>
      </c>
      <c r="F83" s="16">
        <f>IF($A83="","",IFERROR(SUMIFS(Imported!$F$2:$F$151,Imported!$B$2:$B$151,$B83&amp;"",Imported!$C$2:$C$151,$C83&amp;""),0))</f>
        <v/>
      </c>
      <c r="G83">
        <f>IF($A83="","",IFERROR(SUMIFS(Imported!$G$2:$G$151,Imported!$B$2:$B$151,$B83&amp;"",Imported!$C$2:$C$151,$C83&amp;""),0))</f>
        <v/>
      </c>
      <c r="H83">
        <f>IF($A83="","",IFERROR(SUMIFS(Imported!$H$2:$H$151,Imported!$B$2:$B$151,$B83&amp;"",Imported!$C$2:$C$151,$C83&amp;""),0))</f>
        <v/>
      </c>
    </row>
    <row r="84">
      <c r="A84">
        <f>IF(Roster!A84="","",Roster!A84)</f>
        <v/>
      </c>
      <c r="B84">
        <f>IF($A84="","",Roster!B84)</f>
        <v/>
      </c>
      <c r="C84">
        <f>IF($A84="","",Roster!C84)</f>
        <v/>
      </c>
      <c r="D84">
        <f>IF($A84="","",IFERROR(SUMIFS(Imported!$D$2:$D$151,Imported!$B$2:$B$151,$B84&amp;"",Imported!$C$2:$C$151,$C84&amp;""),0))</f>
        <v/>
      </c>
      <c r="E84">
        <f>IF($A84="","",IFERROR(SUMIFS(Imported!$E$2:$E$151,Imported!$B$2:$B$151,$B84&amp;"",Imported!$C$2:$C$151,$C84&amp;""),0))</f>
        <v/>
      </c>
      <c r="F84" s="16">
        <f>IF($A84="","",IFERROR(SUMIFS(Imported!$F$2:$F$151,Imported!$B$2:$B$151,$B84&amp;"",Imported!$C$2:$C$151,$C84&amp;""),0))</f>
        <v/>
      </c>
      <c r="G84">
        <f>IF($A84="","",IFERROR(SUMIFS(Imported!$G$2:$G$151,Imported!$B$2:$B$151,$B84&amp;"",Imported!$C$2:$C$151,$C84&amp;""),0))</f>
        <v/>
      </c>
      <c r="H84">
        <f>IF($A84="","",IFERROR(SUMIFS(Imported!$H$2:$H$151,Imported!$B$2:$B$151,$B84&amp;"",Imported!$C$2:$C$151,$C84&amp;""),0))</f>
        <v/>
      </c>
    </row>
    <row r="85">
      <c r="A85">
        <f>IF(Roster!A85="","",Roster!A85)</f>
        <v/>
      </c>
      <c r="B85">
        <f>IF($A85="","",Roster!B85)</f>
        <v/>
      </c>
      <c r="C85">
        <f>IF($A85="","",Roster!C85)</f>
        <v/>
      </c>
      <c r="D85">
        <f>IF($A85="","",IFERROR(SUMIFS(Imported!$D$2:$D$151,Imported!$B$2:$B$151,$B85&amp;"",Imported!$C$2:$C$151,$C85&amp;""),0))</f>
        <v/>
      </c>
      <c r="E85">
        <f>IF($A85="","",IFERROR(SUMIFS(Imported!$E$2:$E$151,Imported!$B$2:$B$151,$B85&amp;"",Imported!$C$2:$C$151,$C85&amp;""),0))</f>
        <v/>
      </c>
      <c r="F85" s="16">
        <f>IF($A85="","",IFERROR(SUMIFS(Imported!$F$2:$F$151,Imported!$B$2:$B$151,$B85&amp;"",Imported!$C$2:$C$151,$C85&amp;""),0))</f>
        <v/>
      </c>
      <c r="G85">
        <f>IF($A85="","",IFERROR(SUMIFS(Imported!$G$2:$G$151,Imported!$B$2:$B$151,$B85&amp;"",Imported!$C$2:$C$151,$C85&amp;""),0))</f>
        <v/>
      </c>
      <c r="H85">
        <f>IF($A85="","",IFERROR(SUMIFS(Imported!$H$2:$H$151,Imported!$B$2:$B$151,$B85&amp;"",Imported!$C$2:$C$151,$C85&amp;""),0))</f>
        <v/>
      </c>
    </row>
    <row r="86">
      <c r="A86">
        <f>IF(Roster!A86="","",Roster!A86)</f>
        <v/>
      </c>
      <c r="B86">
        <f>IF($A86="","",Roster!B86)</f>
        <v/>
      </c>
      <c r="C86">
        <f>IF($A86="","",Roster!C86)</f>
        <v/>
      </c>
      <c r="D86">
        <f>IF($A86="","",IFERROR(SUMIFS(Imported!$D$2:$D$151,Imported!$B$2:$B$151,$B86&amp;"",Imported!$C$2:$C$151,$C86&amp;""),0))</f>
        <v/>
      </c>
      <c r="E86">
        <f>IF($A86="","",IFERROR(SUMIFS(Imported!$E$2:$E$151,Imported!$B$2:$B$151,$B86&amp;"",Imported!$C$2:$C$151,$C86&amp;""),0))</f>
        <v/>
      </c>
      <c r="F86" s="16">
        <f>IF($A86="","",IFERROR(SUMIFS(Imported!$F$2:$F$151,Imported!$B$2:$B$151,$B86&amp;"",Imported!$C$2:$C$151,$C86&amp;""),0))</f>
        <v/>
      </c>
      <c r="G86">
        <f>IF($A86="","",IFERROR(SUMIFS(Imported!$G$2:$G$151,Imported!$B$2:$B$151,$B86&amp;"",Imported!$C$2:$C$151,$C86&amp;""),0))</f>
        <v/>
      </c>
      <c r="H86">
        <f>IF($A86="","",IFERROR(SUMIFS(Imported!$H$2:$H$151,Imported!$B$2:$B$151,$B86&amp;"",Imported!$C$2:$C$151,$C86&amp;""),0))</f>
        <v/>
      </c>
    </row>
    <row r="87">
      <c r="A87">
        <f>IF(Roster!A87="","",Roster!A87)</f>
        <v/>
      </c>
      <c r="B87">
        <f>IF($A87="","",Roster!B87)</f>
        <v/>
      </c>
      <c r="C87">
        <f>IF($A87="","",Roster!C87)</f>
        <v/>
      </c>
      <c r="D87">
        <f>IF($A87="","",IFERROR(SUMIFS(Imported!$D$2:$D$151,Imported!$B$2:$B$151,$B87&amp;"",Imported!$C$2:$C$151,$C87&amp;""),0))</f>
        <v/>
      </c>
      <c r="E87">
        <f>IF($A87="","",IFERROR(SUMIFS(Imported!$E$2:$E$151,Imported!$B$2:$B$151,$B87&amp;"",Imported!$C$2:$C$151,$C87&amp;""),0))</f>
        <v/>
      </c>
      <c r="F87" s="16">
        <f>IF($A87="","",IFERROR(SUMIFS(Imported!$F$2:$F$151,Imported!$B$2:$B$151,$B87&amp;"",Imported!$C$2:$C$151,$C87&amp;""),0))</f>
        <v/>
      </c>
      <c r="G87">
        <f>IF($A87="","",IFERROR(SUMIFS(Imported!$G$2:$G$151,Imported!$B$2:$B$151,$B87&amp;"",Imported!$C$2:$C$151,$C87&amp;""),0))</f>
        <v/>
      </c>
      <c r="H87">
        <f>IF($A87="","",IFERROR(SUMIFS(Imported!$H$2:$H$151,Imported!$B$2:$B$151,$B87&amp;"",Imported!$C$2:$C$151,$C87&amp;""),0))</f>
        <v/>
      </c>
    </row>
    <row r="88">
      <c r="A88">
        <f>IF(Roster!A88="","",Roster!A88)</f>
        <v/>
      </c>
      <c r="B88">
        <f>IF($A88="","",Roster!B88)</f>
        <v/>
      </c>
      <c r="C88">
        <f>IF($A88="","",Roster!C88)</f>
        <v/>
      </c>
      <c r="D88">
        <f>IF($A88="","",IFERROR(SUMIFS(Imported!$D$2:$D$151,Imported!$B$2:$B$151,$B88&amp;"",Imported!$C$2:$C$151,$C88&amp;""),0))</f>
        <v/>
      </c>
      <c r="E88">
        <f>IF($A88="","",IFERROR(SUMIFS(Imported!$E$2:$E$151,Imported!$B$2:$B$151,$B88&amp;"",Imported!$C$2:$C$151,$C88&amp;""),0))</f>
        <v/>
      </c>
      <c r="F88" s="16">
        <f>IF($A88="","",IFERROR(SUMIFS(Imported!$F$2:$F$151,Imported!$B$2:$B$151,$B88&amp;"",Imported!$C$2:$C$151,$C88&amp;""),0))</f>
        <v/>
      </c>
      <c r="G88">
        <f>IF($A88="","",IFERROR(SUMIFS(Imported!$G$2:$G$151,Imported!$B$2:$B$151,$B88&amp;"",Imported!$C$2:$C$151,$C88&amp;""),0))</f>
        <v/>
      </c>
      <c r="H88">
        <f>IF($A88="","",IFERROR(SUMIFS(Imported!$H$2:$H$151,Imported!$B$2:$B$151,$B88&amp;"",Imported!$C$2:$C$151,$C88&amp;""),0))</f>
        <v/>
      </c>
    </row>
    <row r="89">
      <c r="A89">
        <f>IF(Roster!A89="","",Roster!A89)</f>
        <v/>
      </c>
      <c r="B89">
        <f>IF($A89="","",Roster!B89)</f>
        <v/>
      </c>
      <c r="C89">
        <f>IF($A89="","",Roster!C89)</f>
        <v/>
      </c>
      <c r="D89">
        <f>IF($A89="","",IFERROR(SUMIFS(Imported!$D$2:$D$151,Imported!$B$2:$B$151,$B89&amp;"",Imported!$C$2:$C$151,$C89&amp;""),0))</f>
        <v/>
      </c>
      <c r="E89">
        <f>IF($A89="","",IFERROR(SUMIFS(Imported!$E$2:$E$151,Imported!$B$2:$B$151,$B89&amp;"",Imported!$C$2:$C$151,$C89&amp;""),0))</f>
        <v/>
      </c>
      <c r="F89" s="16">
        <f>IF($A89="","",IFERROR(SUMIFS(Imported!$F$2:$F$151,Imported!$B$2:$B$151,$B89&amp;"",Imported!$C$2:$C$151,$C89&amp;""),0))</f>
        <v/>
      </c>
      <c r="G89">
        <f>IF($A89="","",IFERROR(SUMIFS(Imported!$G$2:$G$151,Imported!$B$2:$B$151,$B89&amp;"",Imported!$C$2:$C$151,$C89&amp;""),0))</f>
        <v/>
      </c>
      <c r="H89">
        <f>IF($A89="","",IFERROR(SUMIFS(Imported!$H$2:$H$151,Imported!$B$2:$B$151,$B89&amp;"",Imported!$C$2:$C$151,$C89&amp;""),0))</f>
        <v/>
      </c>
    </row>
    <row r="90">
      <c r="A90">
        <f>IF(Roster!A90="","",Roster!A90)</f>
        <v/>
      </c>
      <c r="B90">
        <f>IF($A90="","",Roster!B90)</f>
        <v/>
      </c>
      <c r="C90">
        <f>IF($A90="","",Roster!C90)</f>
        <v/>
      </c>
      <c r="D90">
        <f>IF($A90="","",IFERROR(SUMIFS(Imported!$D$2:$D$151,Imported!$B$2:$B$151,$B90&amp;"",Imported!$C$2:$C$151,$C90&amp;""),0))</f>
        <v/>
      </c>
      <c r="E90">
        <f>IF($A90="","",IFERROR(SUMIFS(Imported!$E$2:$E$151,Imported!$B$2:$B$151,$B90&amp;"",Imported!$C$2:$C$151,$C90&amp;""),0))</f>
        <v/>
      </c>
      <c r="F90" s="16">
        <f>IF($A90="","",IFERROR(SUMIFS(Imported!$F$2:$F$151,Imported!$B$2:$B$151,$B90&amp;"",Imported!$C$2:$C$151,$C90&amp;""),0))</f>
        <v/>
      </c>
      <c r="G90">
        <f>IF($A90="","",IFERROR(SUMIFS(Imported!$G$2:$G$151,Imported!$B$2:$B$151,$B90&amp;"",Imported!$C$2:$C$151,$C90&amp;""),0))</f>
        <v/>
      </c>
      <c r="H90">
        <f>IF($A90="","",IFERROR(SUMIFS(Imported!$H$2:$H$151,Imported!$B$2:$B$151,$B90&amp;"",Imported!$C$2:$C$151,$C90&amp;""),0))</f>
        <v/>
      </c>
    </row>
    <row r="91">
      <c r="A91">
        <f>IF(Roster!A91="","",Roster!A91)</f>
        <v/>
      </c>
      <c r="B91">
        <f>IF($A91="","",Roster!B91)</f>
        <v/>
      </c>
      <c r="C91">
        <f>IF($A91="","",Roster!C91)</f>
        <v/>
      </c>
      <c r="D91">
        <f>IF($A91="","",IFERROR(SUMIFS(Imported!$D$2:$D$151,Imported!$B$2:$B$151,$B91&amp;"",Imported!$C$2:$C$151,$C91&amp;""),0))</f>
        <v/>
      </c>
      <c r="E91">
        <f>IF($A91="","",IFERROR(SUMIFS(Imported!$E$2:$E$151,Imported!$B$2:$B$151,$B91&amp;"",Imported!$C$2:$C$151,$C91&amp;""),0))</f>
        <v/>
      </c>
      <c r="F91" s="16">
        <f>IF($A91="","",IFERROR(SUMIFS(Imported!$F$2:$F$151,Imported!$B$2:$B$151,$B91&amp;"",Imported!$C$2:$C$151,$C91&amp;""),0))</f>
        <v/>
      </c>
      <c r="G91">
        <f>IF($A91="","",IFERROR(SUMIFS(Imported!$G$2:$G$151,Imported!$B$2:$B$151,$B91&amp;"",Imported!$C$2:$C$151,$C91&amp;""),0))</f>
        <v/>
      </c>
      <c r="H91">
        <f>IF($A91="","",IFERROR(SUMIFS(Imported!$H$2:$H$151,Imported!$B$2:$B$151,$B91&amp;"",Imported!$C$2:$C$151,$C91&amp;""),0))</f>
        <v/>
      </c>
    </row>
    <row r="92">
      <c r="A92">
        <f>IF(Roster!A92="","",Roster!A92)</f>
        <v/>
      </c>
      <c r="B92">
        <f>IF($A92="","",Roster!B92)</f>
        <v/>
      </c>
      <c r="C92">
        <f>IF($A92="","",Roster!C92)</f>
        <v/>
      </c>
      <c r="D92">
        <f>IF($A92="","",IFERROR(SUMIFS(Imported!$D$2:$D$151,Imported!$B$2:$B$151,$B92&amp;"",Imported!$C$2:$C$151,$C92&amp;""),0))</f>
        <v/>
      </c>
      <c r="E92">
        <f>IF($A92="","",IFERROR(SUMIFS(Imported!$E$2:$E$151,Imported!$B$2:$B$151,$B92&amp;"",Imported!$C$2:$C$151,$C92&amp;""),0))</f>
        <v/>
      </c>
      <c r="F92" s="16">
        <f>IF($A92="","",IFERROR(SUMIFS(Imported!$F$2:$F$151,Imported!$B$2:$B$151,$B92&amp;"",Imported!$C$2:$C$151,$C92&amp;""),0))</f>
        <v/>
      </c>
      <c r="G92">
        <f>IF($A92="","",IFERROR(SUMIFS(Imported!$G$2:$G$151,Imported!$B$2:$B$151,$B92&amp;"",Imported!$C$2:$C$151,$C92&amp;""),0))</f>
        <v/>
      </c>
      <c r="H92">
        <f>IF($A92="","",IFERROR(SUMIFS(Imported!$H$2:$H$151,Imported!$B$2:$B$151,$B92&amp;"",Imported!$C$2:$C$151,$C92&amp;""),0))</f>
        <v/>
      </c>
    </row>
    <row r="93">
      <c r="A93">
        <f>IF(Roster!A93="","",Roster!A93)</f>
        <v/>
      </c>
      <c r="B93">
        <f>IF($A93="","",Roster!B93)</f>
        <v/>
      </c>
      <c r="C93">
        <f>IF($A93="","",Roster!C93)</f>
        <v/>
      </c>
      <c r="D93">
        <f>IF($A93="","",IFERROR(SUMIFS(Imported!$D$2:$D$151,Imported!$B$2:$B$151,$B93&amp;"",Imported!$C$2:$C$151,$C93&amp;""),0))</f>
        <v/>
      </c>
      <c r="E93">
        <f>IF($A93="","",IFERROR(SUMIFS(Imported!$E$2:$E$151,Imported!$B$2:$B$151,$B93&amp;"",Imported!$C$2:$C$151,$C93&amp;""),0))</f>
        <v/>
      </c>
      <c r="F93" s="16">
        <f>IF($A93="","",IFERROR(SUMIFS(Imported!$F$2:$F$151,Imported!$B$2:$B$151,$B93&amp;"",Imported!$C$2:$C$151,$C93&amp;""),0))</f>
        <v/>
      </c>
      <c r="G93">
        <f>IF($A93="","",IFERROR(SUMIFS(Imported!$G$2:$G$151,Imported!$B$2:$B$151,$B93&amp;"",Imported!$C$2:$C$151,$C93&amp;""),0))</f>
        <v/>
      </c>
      <c r="H93">
        <f>IF($A93="","",IFERROR(SUMIFS(Imported!$H$2:$H$151,Imported!$B$2:$B$151,$B93&amp;"",Imported!$C$2:$C$151,$C93&amp;""),0))</f>
        <v/>
      </c>
    </row>
    <row r="94">
      <c r="A94">
        <f>IF(Roster!A94="","",Roster!A94)</f>
        <v/>
      </c>
      <c r="B94">
        <f>IF($A94="","",Roster!B94)</f>
        <v/>
      </c>
      <c r="C94">
        <f>IF($A94="","",Roster!C94)</f>
        <v/>
      </c>
      <c r="D94">
        <f>IF($A94="","",IFERROR(SUMIFS(Imported!$D$2:$D$151,Imported!$B$2:$B$151,$B94&amp;"",Imported!$C$2:$C$151,$C94&amp;""),0))</f>
        <v/>
      </c>
      <c r="E94">
        <f>IF($A94="","",IFERROR(SUMIFS(Imported!$E$2:$E$151,Imported!$B$2:$B$151,$B94&amp;"",Imported!$C$2:$C$151,$C94&amp;""),0))</f>
        <v/>
      </c>
      <c r="F94" s="16">
        <f>IF($A94="","",IFERROR(SUMIFS(Imported!$F$2:$F$151,Imported!$B$2:$B$151,$B94&amp;"",Imported!$C$2:$C$151,$C94&amp;""),0))</f>
        <v/>
      </c>
      <c r="G94">
        <f>IF($A94="","",IFERROR(SUMIFS(Imported!$G$2:$G$151,Imported!$B$2:$B$151,$B94&amp;"",Imported!$C$2:$C$151,$C94&amp;""),0))</f>
        <v/>
      </c>
      <c r="H94">
        <f>IF($A94="","",IFERROR(SUMIFS(Imported!$H$2:$H$151,Imported!$B$2:$B$151,$B94&amp;"",Imported!$C$2:$C$151,$C94&amp;""),0))</f>
        <v/>
      </c>
    </row>
    <row r="95">
      <c r="A95">
        <f>IF(Roster!A95="","",Roster!A95)</f>
        <v/>
      </c>
      <c r="B95">
        <f>IF($A95="","",Roster!B95)</f>
        <v/>
      </c>
      <c r="C95">
        <f>IF($A95="","",Roster!C95)</f>
        <v/>
      </c>
      <c r="D95">
        <f>IF($A95="","",IFERROR(SUMIFS(Imported!$D$2:$D$151,Imported!$B$2:$B$151,$B95&amp;"",Imported!$C$2:$C$151,$C95&amp;""),0))</f>
        <v/>
      </c>
      <c r="E95">
        <f>IF($A95="","",IFERROR(SUMIFS(Imported!$E$2:$E$151,Imported!$B$2:$B$151,$B95&amp;"",Imported!$C$2:$C$151,$C95&amp;""),0))</f>
        <v/>
      </c>
      <c r="F95" s="16">
        <f>IF($A95="","",IFERROR(SUMIFS(Imported!$F$2:$F$151,Imported!$B$2:$B$151,$B95&amp;"",Imported!$C$2:$C$151,$C95&amp;""),0))</f>
        <v/>
      </c>
      <c r="G95">
        <f>IF($A95="","",IFERROR(SUMIFS(Imported!$G$2:$G$151,Imported!$B$2:$B$151,$B95&amp;"",Imported!$C$2:$C$151,$C95&amp;""),0))</f>
        <v/>
      </c>
      <c r="H95">
        <f>IF($A95="","",IFERROR(SUMIFS(Imported!$H$2:$H$151,Imported!$B$2:$B$151,$B95&amp;"",Imported!$C$2:$C$151,$C95&amp;""),0))</f>
        <v/>
      </c>
    </row>
    <row r="96">
      <c r="A96">
        <f>IF(Roster!A96="","",Roster!A96)</f>
        <v/>
      </c>
      <c r="B96">
        <f>IF($A96="","",Roster!B96)</f>
        <v/>
      </c>
      <c r="C96">
        <f>IF($A96="","",Roster!C96)</f>
        <v/>
      </c>
      <c r="D96">
        <f>IF($A96="","",IFERROR(SUMIFS(Imported!$D$2:$D$151,Imported!$B$2:$B$151,$B96&amp;"",Imported!$C$2:$C$151,$C96&amp;""),0))</f>
        <v/>
      </c>
      <c r="E96">
        <f>IF($A96="","",IFERROR(SUMIFS(Imported!$E$2:$E$151,Imported!$B$2:$B$151,$B96&amp;"",Imported!$C$2:$C$151,$C96&amp;""),0))</f>
        <v/>
      </c>
      <c r="F96" s="16">
        <f>IF($A96="","",IFERROR(SUMIFS(Imported!$F$2:$F$151,Imported!$B$2:$B$151,$B96&amp;"",Imported!$C$2:$C$151,$C96&amp;""),0))</f>
        <v/>
      </c>
      <c r="G96">
        <f>IF($A96="","",IFERROR(SUMIFS(Imported!$G$2:$G$151,Imported!$B$2:$B$151,$B96&amp;"",Imported!$C$2:$C$151,$C96&amp;""),0))</f>
        <v/>
      </c>
      <c r="H96">
        <f>IF($A96="","",IFERROR(SUMIFS(Imported!$H$2:$H$151,Imported!$B$2:$B$151,$B96&amp;"",Imported!$C$2:$C$151,$C96&amp;""),0))</f>
        <v/>
      </c>
    </row>
    <row r="97">
      <c r="A97">
        <f>IF(Roster!A97="","",Roster!A97)</f>
        <v/>
      </c>
      <c r="B97">
        <f>IF($A97="","",Roster!B97)</f>
        <v/>
      </c>
      <c r="C97">
        <f>IF($A97="","",Roster!C97)</f>
        <v/>
      </c>
      <c r="D97">
        <f>IF($A97="","",IFERROR(SUMIFS(Imported!$D$2:$D$151,Imported!$B$2:$B$151,$B97&amp;"",Imported!$C$2:$C$151,$C97&amp;""),0))</f>
        <v/>
      </c>
      <c r="E97">
        <f>IF($A97="","",IFERROR(SUMIFS(Imported!$E$2:$E$151,Imported!$B$2:$B$151,$B97&amp;"",Imported!$C$2:$C$151,$C97&amp;""),0))</f>
        <v/>
      </c>
      <c r="F97" s="16">
        <f>IF($A97="","",IFERROR(SUMIFS(Imported!$F$2:$F$151,Imported!$B$2:$B$151,$B97&amp;"",Imported!$C$2:$C$151,$C97&amp;""),0))</f>
        <v/>
      </c>
      <c r="G97">
        <f>IF($A97="","",IFERROR(SUMIFS(Imported!$G$2:$G$151,Imported!$B$2:$B$151,$B97&amp;"",Imported!$C$2:$C$151,$C97&amp;""),0))</f>
        <v/>
      </c>
      <c r="H97">
        <f>IF($A97="","",IFERROR(SUMIFS(Imported!$H$2:$H$151,Imported!$B$2:$B$151,$B97&amp;"",Imported!$C$2:$C$151,$C97&amp;""),0))</f>
        <v/>
      </c>
    </row>
    <row r="98">
      <c r="A98">
        <f>IF(Roster!A98="","",Roster!A98)</f>
        <v/>
      </c>
      <c r="B98">
        <f>IF($A98="","",Roster!B98)</f>
        <v/>
      </c>
      <c r="C98">
        <f>IF($A98="","",Roster!C98)</f>
        <v/>
      </c>
      <c r="D98">
        <f>IF($A98="","",IFERROR(SUMIFS(Imported!$D$2:$D$151,Imported!$B$2:$B$151,$B98&amp;"",Imported!$C$2:$C$151,$C98&amp;""),0))</f>
        <v/>
      </c>
      <c r="E98">
        <f>IF($A98="","",IFERROR(SUMIFS(Imported!$E$2:$E$151,Imported!$B$2:$B$151,$B98&amp;"",Imported!$C$2:$C$151,$C98&amp;""),0))</f>
        <v/>
      </c>
      <c r="F98" s="16">
        <f>IF($A98="","",IFERROR(SUMIFS(Imported!$F$2:$F$151,Imported!$B$2:$B$151,$B98&amp;"",Imported!$C$2:$C$151,$C98&amp;""),0))</f>
        <v/>
      </c>
      <c r="G98">
        <f>IF($A98="","",IFERROR(SUMIFS(Imported!$G$2:$G$151,Imported!$B$2:$B$151,$B98&amp;"",Imported!$C$2:$C$151,$C98&amp;""),0))</f>
        <v/>
      </c>
      <c r="H98">
        <f>IF($A98="","",IFERROR(SUMIFS(Imported!$H$2:$H$151,Imported!$B$2:$B$151,$B98&amp;"",Imported!$C$2:$C$151,$C98&amp;""),0))</f>
        <v/>
      </c>
    </row>
    <row r="99">
      <c r="A99">
        <f>IF(Roster!A99="","",Roster!A99)</f>
        <v/>
      </c>
      <c r="B99">
        <f>IF($A99="","",Roster!B99)</f>
        <v/>
      </c>
      <c r="C99">
        <f>IF($A99="","",Roster!C99)</f>
        <v/>
      </c>
      <c r="D99">
        <f>IF($A99="","",IFERROR(SUMIFS(Imported!$D$2:$D$151,Imported!$B$2:$B$151,$B99&amp;"",Imported!$C$2:$C$151,$C99&amp;""),0))</f>
        <v/>
      </c>
      <c r="E99">
        <f>IF($A99="","",IFERROR(SUMIFS(Imported!$E$2:$E$151,Imported!$B$2:$B$151,$B99&amp;"",Imported!$C$2:$C$151,$C99&amp;""),0))</f>
        <v/>
      </c>
      <c r="F99" s="16">
        <f>IF($A99="","",IFERROR(SUMIFS(Imported!$F$2:$F$151,Imported!$B$2:$B$151,$B99&amp;"",Imported!$C$2:$C$151,$C99&amp;""),0))</f>
        <v/>
      </c>
      <c r="G99">
        <f>IF($A99="","",IFERROR(SUMIFS(Imported!$G$2:$G$151,Imported!$B$2:$B$151,$B99&amp;"",Imported!$C$2:$C$151,$C99&amp;""),0))</f>
        <v/>
      </c>
      <c r="H99">
        <f>IF($A99="","",IFERROR(SUMIFS(Imported!$H$2:$H$151,Imported!$B$2:$B$151,$B99&amp;"",Imported!$C$2:$C$151,$C99&amp;""),0))</f>
        <v/>
      </c>
    </row>
    <row r="100">
      <c r="A100">
        <f>IF(Roster!A100="","",Roster!A100)</f>
        <v/>
      </c>
      <c r="B100">
        <f>IF($A100="","",Roster!B100)</f>
        <v/>
      </c>
      <c r="C100">
        <f>IF($A100="","",Roster!C100)</f>
        <v/>
      </c>
      <c r="D100">
        <f>IF($A100="","",IFERROR(SUMIFS(Imported!$D$2:$D$151,Imported!$B$2:$B$151,$B100&amp;"",Imported!$C$2:$C$151,$C100&amp;""),0))</f>
        <v/>
      </c>
      <c r="E100">
        <f>IF($A100="","",IFERROR(SUMIFS(Imported!$E$2:$E$151,Imported!$B$2:$B$151,$B100&amp;"",Imported!$C$2:$C$151,$C100&amp;""),0))</f>
        <v/>
      </c>
      <c r="F100" s="16">
        <f>IF($A100="","",IFERROR(SUMIFS(Imported!$F$2:$F$151,Imported!$B$2:$B$151,$B100&amp;"",Imported!$C$2:$C$151,$C100&amp;""),0))</f>
        <v/>
      </c>
      <c r="G100">
        <f>IF($A100="","",IFERROR(SUMIFS(Imported!$G$2:$G$151,Imported!$B$2:$B$151,$B100&amp;"",Imported!$C$2:$C$151,$C100&amp;""),0))</f>
        <v/>
      </c>
      <c r="H100">
        <f>IF($A100="","",IFERROR(SUMIFS(Imported!$H$2:$H$151,Imported!$B$2:$B$151,$B100&amp;"",Imported!$C$2:$C$151,$C100&amp;""),0))</f>
        <v/>
      </c>
    </row>
    <row r="101">
      <c r="A101">
        <f>IF(Roster!A101="","",Roster!A101)</f>
        <v/>
      </c>
      <c r="B101">
        <f>IF($A101="","",Roster!B101)</f>
        <v/>
      </c>
      <c r="C101">
        <f>IF($A101="","",Roster!C101)</f>
        <v/>
      </c>
      <c r="D101">
        <f>IF($A101="","",IFERROR(SUMIFS(Imported!$D$2:$D$151,Imported!$B$2:$B$151,$B101&amp;"",Imported!$C$2:$C$151,$C101&amp;""),0))</f>
        <v/>
      </c>
      <c r="E101">
        <f>IF($A101="","",IFERROR(SUMIFS(Imported!$E$2:$E$151,Imported!$B$2:$B$151,$B101&amp;"",Imported!$C$2:$C$151,$C101&amp;""),0))</f>
        <v/>
      </c>
      <c r="F101" s="16">
        <f>IF($A101="","",IFERROR(SUMIFS(Imported!$F$2:$F$151,Imported!$B$2:$B$151,$B101&amp;"",Imported!$C$2:$C$151,$C101&amp;""),0))</f>
        <v/>
      </c>
      <c r="G101">
        <f>IF($A101="","",IFERROR(SUMIFS(Imported!$G$2:$G$151,Imported!$B$2:$B$151,$B101&amp;"",Imported!$C$2:$C$151,$C101&amp;""),0))</f>
        <v/>
      </c>
      <c r="H101">
        <f>IF($A101="","",IFERROR(SUMIFS(Imported!$H$2:$H$151,Imported!$B$2:$B$151,$B101&amp;"",Imported!$C$2:$C$151,$C101&amp;""),0))</f>
        <v/>
      </c>
    </row>
    <row r="102">
      <c r="A102">
        <f>IF(Roster!A102="","",Roster!A102)</f>
        <v/>
      </c>
      <c r="B102">
        <f>IF($A102="","",Roster!B102)</f>
        <v/>
      </c>
      <c r="C102">
        <f>IF($A102="","",Roster!C102)</f>
        <v/>
      </c>
      <c r="D102">
        <f>IF($A102="","",IFERROR(SUMIFS(Imported!$D$2:$D$151,Imported!$B$2:$B$151,$B102&amp;"",Imported!$C$2:$C$151,$C102&amp;""),0))</f>
        <v/>
      </c>
      <c r="E102">
        <f>IF($A102="","",IFERROR(SUMIFS(Imported!$E$2:$E$151,Imported!$B$2:$B$151,$B102&amp;"",Imported!$C$2:$C$151,$C102&amp;""),0))</f>
        <v/>
      </c>
      <c r="F102" s="16">
        <f>IF($A102="","",IFERROR(SUMIFS(Imported!$F$2:$F$151,Imported!$B$2:$B$151,$B102&amp;"",Imported!$C$2:$C$151,$C102&amp;""),0))</f>
        <v/>
      </c>
      <c r="G102">
        <f>IF($A102="","",IFERROR(SUMIFS(Imported!$G$2:$G$151,Imported!$B$2:$B$151,$B102&amp;"",Imported!$C$2:$C$151,$C102&amp;""),0))</f>
        <v/>
      </c>
      <c r="H102">
        <f>IF($A102="","",IFERROR(SUMIFS(Imported!$H$2:$H$151,Imported!$B$2:$B$151,$B102&amp;"",Imported!$C$2:$C$151,$C102&amp;""),0))</f>
        <v/>
      </c>
    </row>
    <row r="103">
      <c r="A103">
        <f>IF(Roster!A103="","",Roster!A103)</f>
        <v/>
      </c>
      <c r="B103">
        <f>IF($A103="","",Roster!B103)</f>
        <v/>
      </c>
      <c r="C103">
        <f>IF($A103="","",Roster!C103)</f>
        <v/>
      </c>
      <c r="D103">
        <f>IF($A103="","",IFERROR(SUMIFS(Imported!$D$2:$D$151,Imported!$B$2:$B$151,$B103&amp;"",Imported!$C$2:$C$151,$C103&amp;""),0))</f>
        <v/>
      </c>
      <c r="E103">
        <f>IF($A103="","",IFERROR(SUMIFS(Imported!$E$2:$E$151,Imported!$B$2:$B$151,$B103&amp;"",Imported!$C$2:$C$151,$C103&amp;""),0))</f>
        <v/>
      </c>
      <c r="F103" s="16">
        <f>IF($A103="","",IFERROR(SUMIFS(Imported!$F$2:$F$151,Imported!$B$2:$B$151,$B103&amp;"",Imported!$C$2:$C$151,$C103&amp;""),0))</f>
        <v/>
      </c>
      <c r="G103">
        <f>IF($A103="","",IFERROR(SUMIFS(Imported!$G$2:$G$151,Imported!$B$2:$B$151,$B103&amp;"",Imported!$C$2:$C$151,$C103&amp;""),0))</f>
        <v/>
      </c>
      <c r="H103">
        <f>IF($A103="","",IFERROR(SUMIFS(Imported!$H$2:$H$151,Imported!$B$2:$B$151,$B103&amp;"",Imported!$C$2:$C$151,$C103&amp;""),0))</f>
        <v/>
      </c>
    </row>
    <row r="104">
      <c r="A104">
        <f>IF(Roster!A104="","",Roster!A104)</f>
        <v/>
      </c>
      <c r="B104">
        <f>IF($A104="","",Roster!B104)</f>
        <v/>
      </c>
      <c r="C104">
        <f>IF($A104="","",Roster!C104)</f>
        <v/>
      </c>
      <c r="D104">
        <f>IF($A104="","",IFERROR(SUMIFS(Imported!$D$2:$D$151,Imported!$B$2:$B$151,$B104&amp;"",Imported!$C$2:$C$151,$C104&amp;""),0))</f>
        <v/>
      </c>
      <c r="E104">
        <f>IF($A104="","",IFERROR(SUMIFS(Imported!$E$2:$E$151,Imported!$B$2:$B$151,$B104&amp;"",Imported!$C$2:$C$151,$C104&amp;""),0))</f>
        <v/>
      </c>
      <c r="F104" s="16">
        <f>IF($A104="","",IFERROR(SUMIFS(Imported!$F$2:$F$151,Imported!$B$2:$B$151,$B104&amp;"",Imported!$C$2:$C$151,$C104&amp;""),0))</f>
        <v/>
      </c>
      <c r="G104">
        <f>IF($A104="","",IFERROR(SUMIFS(Imported!$G$2:$G$151,Imported!$B$2:$B$151,$B104&amp;"",Imported!$C$2:$C$151,$C104&amp;""),0))</f>
        <v/>
      </c>
      <c r="H104">
        <f>IF($A104="","",IFERROR(SUMIFS(Imported!$H$2:$H$151,Imported!$B$2:$B$151,$B104&amp;"",Imported!$C$2:$C$151,$C104&amp;""),0))</f>
        <v/>
      </c>
    </row>
    <row r="105">
      <c r="A105">
        <f>IF(Roster!A105="","",Roster!A105)</f>
        <v/>
      </c>
      <c r="B105">
        <f>IF($A105="","",Roster!B105)</f>
        <v/>
      </c>
      <c r="C105">
        <f>IF($A105="","",Roster!C105)</f>
        <v/>
      </c>
      <c r="D105">
        <f>IF($A105="","",IFERROR(SUMIFS(Imported!$D$2:$D$151,Imported!$B$2:$B$151,$B105&amp;"",Imported!$C$2:$C$151,$C105&amp;""),0))</f>
        <v/>
      </c>
      <c r="E105">
        <f>IF($A105="","",IFERROR(SUMIFS(Imported!$E$2:$E$151,Imported!$B$2:$B$151,$B105&amp;"",Imported!$C$2:$C$151,$C105&amp;""),0))</f>
        <v/>
      </c>
      <c r="F105" s="16">
        <f>IF($A105="","",IFERROR(SUMIFS(Imported!$F$2:$F$151,Imported!$B$2:$B$151,$B105&amp;"",Imported!$C$2:$C$151,$C105&amp;""),0))</f>
        <v/>
      </c>
      <c r="G105">
        <f>IF($A105="","",IFERROR(SUMIFS(Imported!$G$2:$G$151,Imported!$B$2:$B$151,$B105&amp;"",Imported!$C$2:$C$151,$C105&amp;""),0))</f>
        <v/>
      </c>
      <c r="H105">
        <f>IF($A105="","",IFERROR(SUMIFS(Imported!$H$2:$H$151,Imported!$B$2:$B$151,$B105&amp;"",Imported!$C$2:$C$151,$C105&amp;""),0))</f>
        <v/>
      </c>
    </row>
    <row r="106">
      <c r="A106">
        <f>IF(Roster!A106="","",Roster!A106)</f>
        <v/>
      </c>
      <c r="B106">
        <f>IF($A106="","",Roster!B106)</f>
        <v/>
      </c>
      <c r="C106">
        <f>IF($A106="","",Roster!C106)</f>
        <v/>
      </c>
      <c r="D106">
        <f>IF($A106="","",IFERROR(SUMIFS(Imported!$D$2:$D$151,Imported!$B$2:$B$151,$B106&amp;"",Imported!$C$2:$C$151,$C106&amp;""),0))</f>
        <v/>
      </c>
      <c r="E106">
        <f>IF($A106="","",IFERROR(SUMIFS(Imported!$E$2:$E$151,Imported!$B$2:$B$151,$B106&amp;"",Imported!$C$2:$C$151,$C106&amp;""),0))</f>
        <v/>
      </c>
      <c r="F106" s="16">
        <f>IF($A106="","",IFERROR(SUMIFS(Imported!$F$2:$F$151,Imported!$B$2:$B$151,$B106&amp;"",Imported!$C$2:$C$151,$C106&amp;""),0))</f>
        <v/>
      </c>
      <c r="G106">
        <f>IF($A106="","",IFERROR(SUMIFS(Imported!$G$2:$G$151,Imported!$B$2:$B$151,$B106&amp;"",Imported!$C$2:$C$151,$C106&amp;""),0))</f>
        <v/>
      </c>
      <c r="H106">
        <f>IF($A106="","",IFERROR(SUMIFS(Imported!$H$2:$H$151,Imported!$B$2:$B$151,$B106&amp;"",Imported!$C$2:$C$151,$C106&amp;""),0))</f>
        <v/>
      </c>
    </row>
    <row r="107">
      <c r="A107">
        <f>IF(Roster!A107="","",Roster!A107)</f>
        <v/>
      </c>
      <c r="B107">
        <f>IF($A107="","",Roster!B107)</f>
        <v/>
      </c>
      <c r="C107">
        <f>IF($A107="","",Roster!C107)</f>
        <v/>
      </c>
      <c r="D107">
        <f>IF($A107="","",IFERROR(SUMIFS(Imported!$D$2:$D$151,Imported!$B$2:$B$151,$B107&amp;"",Imported!$C$2:$C$151,$C107&amp;""),0))</f>
        <v/>
      </c>
      <c r="E107">
        <f>IF($A107="","",IFERROR(SUMIFS(Imported!$E$2:$E$151,Imported!$B$2:$B$151,$B107&amp;"",Imported!$C$2:$C$151,$C107&amp;""),0))</f>
        <v/>
      </c>
      <c r="F107" s="16">
        <f>IF($A107="","",IFERROR(SUMIFS(Imported!$F$2:$F$151,Imported!$B$2:$B$151,$B107&amp;"",Imported!$C$2:$C$151,$C107&amp;""),0))</f>
        <v/>
      </c>
      <c r="G107">
        <f>IF($A107="","",IFERROR(SUMIFS(Imported!$G$2:$G$151,Imported!$B$2:$B$151,$B107&amp;"",Imported!$C$2:$C$151,$C107&amp;""),0))</f>
        <v/>
      </c>
      <c r="H107">
        <f>IF($A107="","",IFERROR(SUMIFS(Imported!$H$2:$H$151,Imported!$B$2:$B$151,$B107&amp;"",Imported!$C$2:$C$151,$C107&amp;""),0))</f>
        <v/>
      </c>
    </row>
    <row r="108">
      <c r="A108">
        <f>IF(Roster!A108="","",Roster!A108)</f>
        <v/>
      </c>
      <c r="B108">
        <f>IF($A108="","",Roster!B108)</f>
        <v/>
      </c>
      <c r="C108">
        <f>IF($A108="","",Roster!C108)</f>
        <v/>
      </c>
      <c r="D108">
        <f>IF($A108="","",IFERROR(SUMIFS(Imported!$D$2:$D$151,Imported!$B$2:$B$151,$B108&amp;"",Imported!$C$2:$C$151,$C108&amp;""),0))</f>
        <v/>
      </c>
      <c r="E108">
        <f>IF($A108="","",IFERROR(SUMIFS(Imported!$E$2:$E$151,Imported!$B$2:$B$151,$B108&amp;"",Imported!$C$2:$C$151,$C108&amp;""),0))</f>
        <v/>
      </c>
      <c r="F108" s="16">
        <f>IF($A108="","",IFERROR(SUMIFS(Imported!$F$2:$F$151,Imported!$B$2:$B$151,$B108&amp;"",Imported!$C$2:$C$151,$C108&amp;""),0))</f>
        <v/>
      </c>
      <c r="G108">
        <f>IF($A108="","",IFERROR(SUMIFS(Imported!$G$2:$G$151,Imported!$B$2:$B$151,$B108&amp;"",Imported!$C$2:$C$151,$C108&amp;""),0))</f>
        <v/>
      </c>
      <c r="H108">
        <f>IF($A108="","",IFERROR(SUMIFS(Imported!$H$2:$H$151,Imported!$B$2:$B$151,$B108&amp;"",Imported!$C$2:$C$151,$C108&amp;""),0))</f>
        <v/>
      </c>
    </row>
    <row r="109">
      <c r="A109">
        <f>IF(Roster!A109="","",Roster!A109)</f>
        <v/>
      </c>
      <c r="B109">
        <f>IF($A109="","",Roster!B109)</f>
        <v/>
      </c>
      <c r="C109">
        <f>IF($A109="","",Roster!C109)</f>
        <v/>
      </c>
      <c r="D109">
        <f>IF($A109="","",IFERROR(SUMIFS(Imported!$D$2:$D$151,Imported!$B$2:$B$151,$B109&amp;"",Imported!$C$2:$C$151,$C109&amp;""),0))</f>
        <v/>
      </c>
      <c r="E109">
        <f>IF($A109="","",IFERROR(SUMIFS(Imported!$E$2:$E$151,Imported!$B$2:$B$151,$B109&amp;"",Imported!$C$2:$C$151,$C109&amp;""),0))</f>
        <v/>
      </c>
      <c r="F109" s="16">
        <f>IF($A109="","",IFERROR(SUMIFS(Imported!$F$2:$F$151,Imported!$B$2:$B$151,$B109&amp;"",Imported!$C$2:$C$151,$C109&amp;""),0))</f>
        <v/>
      </c>
      <c r="G109">
        <f>IF($A109="","",IFERROR(SUMIFS(Imported!$G$2:$G$151,Imported!$B$2:$B$151,$B109&amp;"",Imported!$C$2:$C$151,$C109&amp;""),0))</f>
        <v/>
      </c>
      <c r="H109">
        <f>IF($A109="","",IFERROR(SUMIFS(Imported!$H$2:$H$151,Imported!$B$2:$B$151,$B109&amp;"",Imported!$C$2:$C$151,$C109&amp;""),0))</f>
        <v/>
      </c>
    </row>
    <row r="110">
      <c r="A110">
        <f>IF(Roster!A110="","",Roster!A110)</f>
        <v/>
      </c>
      <c r="B110">
        <f>IF($A110="","",Roster!B110)</f>
        <v/>
      </c>
      <c r="C110">
        <f>IF($A110="","",Roster!C110)</f>
        <v/>
      </c>
      <c r="D110">
        <f>IF($A110="","",IFERROR(SUMIFS(Imported!$D$2:$D$151,Imported!$B$2:$B$151,$B110&amp;"",Imported!$C$2:$C$151,$C110&amp;""),0))</f>
        <v/>
      </c>
      <c r="E110">
        <f>IF($A110="","",IFERROR(SUMIFS(Imported!$E$2:$E$151,Imported!$B$2:$B$151,$B110&amp;"",Imported!$C$2:$C$151,$C110&amp;""),0))</f>
        <v/>
      </c>
      <c r="F110" s="16">
        <f>IF($A110="","",IFERROR(SUMIFS(Imported!$F$2:$F$151,Imported!$B$2:$B$151,$B110&amp;"",Imported!$C$2:$C$151,$C110&amp;""),0))</f>
        <v/>
      </c>
      <c r="G110">
        <f>IF($A110="","",IFERROR(SUMIFS(Imported!$G$2:$G$151,Imported!$B$2:$B$151,$B110&amp;"",Imported!$C$2:$C$151,$C110&amp;""),0))</f>
        <v/>
      </c>
      <c r="H110">
        <f>IF($A110="","",IFERROR(SUMIFS(Imported!$H$2:$H$151,Imported!$B$2:$B$151,$B110&amp;"",Imported!$C$2:$C$151,$C110&amp;""),0))</f>
        <v/>
      </c>
    </row>
    <row r="111">
      <c r="A111">
        <f>IF(Roster!A111="","",Roster!A111)</f>
        <v/>
      </c>
      <c r="B111">
        <f>IF($A111="","",Roster!B111)</f>
        <v/>
      </c>
      <c r="C111">
        <f>IF($A111="","",Roster!C111)</f>
        <v/>
      </c>
      <c r="D111">
        <f>IF($A111="","",IFERROR(SUMIFS(Imported!$D$2:$D$151,Imported!$B$2:$B$151,$B111&amp;"",Imported!$C$2:$C$151,$C111&amp;""),0))</f>
        <v/>
      </c>
      <c r="E111">
        <f>IF($A111="","",IFERROR(SUMIFS(Imported!$E$2:$E$151,Imported!$B$2:$B$151,$B111&amp;"",Imported!$C$2:$C$151,$C111&amp;""),0))</f>
        <v/>
      </c>
      <c r="F111" s="16">
        <f>IF($A111="","",IFERROR(SUMIFS(Imported!$F$2:$F$151,Imported!$B$2:$B$151,$B111&amp;"",Imported!$C$2:$C$151,$C111&amp;""),0))</f>
        <v/>
      </c>
      <c r="G111">
        <f>IF($A111="","",IFERROR(SUMIFS(Imported!$G$2:$G$151,Imported!$B$2:$B$151,$B111&amp;"",Imported!$C$2:$C$151,$C111&amp;""),0))</f>
        <v/>
      </c>
      <c r="H111">
        <f>IF($A111="","",IFERROR(SUMIFS(Imported!$H$2:$H$151,Imported!$B$2:$B$151,$B111&amp;"",Imported!$C$2:$C$151,$C111&amp;""),0))</f>
        <v/>
      </c>
    </row>
    <row r="112">
      <c r="A112">
        <f>IF(Roster!A112="","",Roster!A112)</f>
        <v/>
      </c>
      <c r="B112">
        <f>IF($A112="","",Roster!B112)</f>
        <v/>
      </c>
      <c r="C112">
        <f>IF($A112="","",Roster!C112)</f>
        <v/>
      </c>
      <c r="D112">
        <f>IF($A112="","",IFERROR(SUMIFS(Imported!$D$2:$D$151,Imported!$B$2:$B$151,$B112&amp;"",Imported!$C$2:$C$151,$C112&amp;""),0))</f>
        <v/>
      </c>
      <c r="E112">
        <f>IF($A112="","",IFERROR(SUMIFS(Imported!$E$2:$E$151,Imported!$B$2:$B$151,$B112&amp;"",Imported!$C$2:$C$151,$C112&amp;""),0))</f>
        <v/>
      </c>
      <c r="F112" s="16">
        <f>IF($A112="","",IFERROR(SUMIFS(Imported!$F$2:$F$151,Imported!$B$2:$B$151,$B112&amp;"",Imported!$C$2:$C$151,$C112&amp;""),0))</f>
        <v/>
      </c>
      <c r="G112">
        <f>IF($A112="","",IFERROR(SUMIFS(Imported!$G$2:$G$151,Imported!$B$2:$B$151,$B112&amp;"",Imported!$C$2:$C$151,$C112&amp;""),0))</f>
        <v/>
      </c>
      <c r="H112">
        <f>IF($A112="","",IFERROR(SUMIFS(Imported!$H$2:$H$151,Imported!$B$2:$B$151,$B112&amp;"",Imported!$C$2:$C$151,$C112&amp;""),0))</f>
        <v/>
      </c>
    </row>
    <row r="113">
      <c r="A113">
        <f>IF(Roster!A113="","",Roster!A113)</f>
        <v/>
      </c>
      <c r="B113">
        <f>IF($A113="","",Roster!B113)</f>
        <v/>
      </c>
      <c r="C113">
        <f>IF($A113="","",Roster!C113)</f>
        <v/>
      </c>
      <c r="D113">
        <f>IF($A113="","",IFERROR(SUMIFS(Imported!$D$2:$D$151,Imported!$B$2:$B$151,$B113&amp;"",Imported!$C$2:$C$151,$C113&amp;""),0))</f>
        <v/>
      </c>
      <c r="E113">
        <f>IF($A113="","",IFERROR(SUMIFS(Imported!$E$2:$E$151,Imported!$B$2:$B$151,$B113&amp;"",Imported!$C$2:$C$151,$C113&amp;""),0))</f>
        <v/>
      </c>
      <c r="F113" s="16">
        <f>IF($A113="","",IFERROR(SUMIFS(Imported!$F$2:$F$151,Imported!$B$2:$B$151,$B113&amp;"",Imported!$C$2:$C$151,$C113&amp;""),0))</f>
        <v/>
      </c>
      <c r="G113">
        <f>IF($A113="","",IFERROR(SUMIFS(Imported!$G$2:$G$151,Imported!$B$2:$B$151,$B113&amp;"",Imported!$C$2:$C$151,$C113&amp;""),0))</f>
        <v/>
      </c>
      <c r="H113">
        <f>IF($A113="","",IFERROR(SUMIFS(Imported!$H$2:$H$151,Imported!$B$2:$B$151,$B113&amp;"",Imported!$C$2:$C$151,$C113&amp;""),0))</f>
        <v/>
      </c>
    </row>
    <row r="114">
      <c r="A114">
        <f>IF(Roster!A114="","",Roster!A114)</f>
        <v/>
      </c>
      <c r="B114">
        <f>IF($A114="","",Roster!B114)</f>
        <v/>
      </c>
      <c r="C114">
        <f>IF($A114="","",Roster!C114)</f>
        <v/>
      </c>
      <c r="D114">
        <f>IF($A114="","",IFERROR(SUMIFS(Imported!$D$2:$D$151,Imported!$B$2:$B$151,$B114&amp;"",Imported!$C$2:$C$151,$C114&amp;""),0))</f>
        <v/>
      </c>
      <c r="E114">
        <f>IF($A114="","",IFERROR(SUMIFS(Imported!$E$2:$E$151,Imported!$B$2:$B$151,$B114&amp;"",Imported!$C$2:$C$151,$C114&amp;""),0))</f>
        <v/>
      </c>
      <c r="F114" s="16">
        <f>IF($A114="","",IFERROR(SUMIFS(Imported!$F$2:$F$151,Imported!$B$2:$B$151,$B114&amp;"",Imported!$C$2:$C$151,$C114&amp;""),0))</f>
        <v/>
      </c>
      <c r="G114">
        <f>IF($A114="","",IFERROR(SUMIFS(Imported!$G$2:$G$151,Imported!$B$2:$B$151,$B114&amp;"",Imported!$C$2:$C$151,$C114&amp;""),0))</f>
        <v/>
      </c>
      <c r="H114">
        <f>IF($A114="","",IFERROR(SUMIFS(Imported!$H$2:$H$151,Imported!$B$2:$B$151,$B114&amp;"",Imported!$C$2:$C$151,$C114&amp;""),0))</f>
        <v/>
      </c>
    </row>
    <row r="115">
      <c r="A115">
        <f>IF(Roster!A115="","",Roster!A115)</f>
        <v/>
      </c>
      <c r="B115">
        <f>IF($A115="","",Roster!B115)</f>
        <v/>
      </c>
      <c r="C115">
        <f>IF($A115="","",Roster!C115)</f>
        <v/>
      </c>
      <c r="D115">
        <f>IF($A115="","",IFERROR(SUMIFS(Imported!$D$2:$D$151,Imported!$B$2:$B$151,$B115&amp;"",Imported!$C$2:$C$151,$C115&amp;""),0))</f>
        <v/>
      </c>
      <c r="E115">
        <f>IF($A115="","",IFERROR(SUMIFS(Imported!$E$2:$E$151,Imported!$B$2:$B$151,$B115&amp;"",Imported!$C$2:$C$151,$C115&amp;""),0))</f>
        <v/>
      </c>
      <c r="F115" s="16">
        <f>IF($A115="","",IFERROR(SUMIFS(Imported!$F$2:$F$151,Imported!$B$2:$B$151,$B115&amp;"",Imported!$C$2:$C$151,$C115&amp;""),0))</f>
        <v/>
      </c>
      <c r="G115">
        <f>IF($A115="","",IFERROR(SUMIFS(Imported!$G$2:$G$151,Imported!$B$2:$B$151,$B115&amp;"",Imported!$C$2:$C$151,$C115&amp;""),0))</f>
        <v/>
      </c>
      <c r="H115">
        <f>IF($A115="","",IFERROR(SUMIFS(Imported!$H$2:$H$151,Imported!$B$2:$B$151,$B115&amp;"",Imported!$C$2:$C$151,$C115&amp;""),0))</f>
        <v/>
      </c>
    </row>
    <row r="116">
      <c r="A116">
        <f>IF(Roster!A116="","",Roster!A116)</f>
        <v/>
      </c>
      <c r="B116">
        <f>IF($A116="","",Roster!B116)</f>
        <v/>
      </c>
      <c r="C116">
        <f>IF($A116="","",Roster!C116)</f>
        <v/>
      </c>
      <c r="D116">
        <f>IF($A116="","",IFERROR(SUMIFS(Imported!$D$2:$D$151,Imported!$B$2:$B$151,$B116&amp;"",Imported!$C$2:$C$151,$C116&amp;""),0))</f>
        <v/>
      </c>
      <c r="E116">
        <f>IF($A116="","",IFERROR(SUMIFS(Imported!$E$2:$E$151,Imported!$B$2:$B$151,$B116&amp;"",Imported!$C$2:$C$151,$C116&amp;""),0))</f>
        <v/>
      </c>
      <c r="F116" s="16">
        <f>IF($A116="","",IFERROR(SUMIFS(Imported!$F$2:$F$151,Imported!$B$2:$B$151,$B116&amp;"",Imported!$C$2:$C$151,$C116&amp;""),0))</f>
        <v/>
      </c>
      <c r="G116">
        <f>IF($A116="","",IFERROR(SUMIFS(Imported!$G$2:$G$151,Imported!$B$2:$B$151,$B116&amp;"",Imported!$C$2:$C$151,$C116&amp;""),0))</f>
        <v/>
      </c>
      <c r="H116">
        <f>IF($A116="","",IFERROR(SUMIFS(Imported!$H$2:$H$151,Imported!$B$2:$B$151,$B116&amp;"",Imported!$C$2:$C$151,$C116&amp;""),0))</f>
        <v/>
      </c>
    </row>
    <row r="117">
      <c r="A117">
        <f>IF(Roster!A117="","",Roster!A117)</f>
        <v/>
      </c>
      <c r="B117">
        <f>IF($A117="","",Roster!B117)</f>
        <v/>
      </c>
      <c r="C117">
        <f>IF($A117="","",Roster!C117)</f>
        <v/>
      </c>
      <c r="D117">
        <f>IF($A117="","",IFERROR(SUMIFS(Imported!$D$2:$D$151,Imported!$B$2:$B$151,$B117&amp;"",Imported!$C$2:$C$151,$C117&amp;""),0))</f>
        <v/>
      </c>
      <c r="E117">
        <f>IF($A117="","",IFERROR(SUMIFS(Imported!$E$2:$E$151,Imported!$B$2:$B$151,$B117&amp;"",Imported!$C$2:$C$151,$C117&amp;""),0))</f>
        <v/>
      </c>
      <c r="F117" s="16">
        <f>IF($A117="","",IFERROR(SUMIFS(Imported!$F$2:$F$151,Imported!$B$2:$B$151,$B117&amp;"",Imported!$C$2:$C$151,$C117&amp;""),0))</f>
        <v/>
      </c>
      <c r="G117">
        <f>IF($A117="","",IFERROR(SUMIFS(Imported!$G$2:$G$151,Imported!$B$2:$B$151,$B117&amp;"",Imported!$C$2:$C$151,$C117&amp;""),0))</f>
        <v/>
      </c>
      <c r="H117">
        <f>IF($A117="","",IFERROR(SUMIFS(Imported!$H$2:$H$151,Imported!$B$2:$B$151,$B117&amp;"",Imported!$C$2:$C$151,$C117&amp;""),0))</f>
        <v/>
      </c>
    </row>
    <row r="118">
      <c r="A118">
        <f>IF(Roster!A118="","",Roster!A118)</f>
        <v/>
      </c>
      <c r="B118">
        <f>IF($A118="","",Roster!B118)</f>
        <v/>
      </c>
      <c r="C118">
        <f>IF($A118="","",Roster!C118)</f>
        <v/>
      </c>
      <c r="D118">
        <f>IF($A118="","",IFERROR(SUMIFS(Imported!$D$2:$D$151,Imported!$B$2:$B$151,$B118&amp;"",Imported!$C$2:$C$151,$C118&amp;""),0))</f>
        <v/>
      </c>
      <c r="E118">
        <f>IF($A118="","",IFERROR(SUMIFS(Imported!$E$2:$E$151,Imported!$B$2:$B$151,$B118&amp;"",Imported!$C$2:$C$151,$C118&amp;""),0))</f>
        <v/>
      </c>
      <c r="F118" s="16">
        <f>IF($A118="","",IFERROR(SUMIFS(Imported!$F$2:$F$151,Imported!$B$2:$B$151,$B118&amp;"",Imported!$C$2:$C$151,$C118&amp;""),0))</f>
        <v/>
      </c>
      <c r="G118">
        <f>IF($A118="","",IFERROR(SUMIFS(Imported!$G$2:$G$151,Imported!$B$2:$B$151,$B118&amp;"",Imported!$C$2:$C$151,$C118&amp;""),0))</f>
        <v/>
      </c>
      <c r="H118">
        <f>IF($A118="","",IFERROR(SUMIFS(Imported!$H$2:$H$151,Imported!$B$2:$B$151,$B118&amp;"",Imported!$C$2:$C$151,$C118&amp;""),0))</f>
        <v/>
      </c>
    </row>
    <row r="119">
      <c r="A119">
        <f>IF(Roster!A119="","",Roster!A119)</f>
        <v/>
      </c>
      <c r="B119">
        <f>IF($A119="","",Roster!B119)</f>
        <v/>
      </c>
      <c r="C119">
        <f>IF($A119="","",Roster!C119)</f>
        <v/>
      </c>
      <c r="D119">
        <f>IF($A119="","",IFERROR(SUMIFS(Imported!$D$2:$D$151,Imported!$B$2:$B$151,$B119&amp;"",Imported!$C$2:$C$151,$C119&amp;""),0))</f>
        <v/>
      </c>
      <c r="E119">
        <f>IF($A119="","",IFERROR(SUMIFS(Imported!$E$2:$E$151,Imported!$B$2:$B$151,$B119&amp;"",Imported!$C$2:$C$151,$C119&amp;""),0))</f>
        <v/>
      </c>
      <c r="F119" s="16">
        <f>IF($A119="","",IFERROR(SUMIFS(Imported!$F$2:$F$151,Imported!$B$2:$B$151,$B119&amp;"",Imported!$C$2:$C$151,$C119&amp;""),0))</f>
        <v/>
      </c>
      <c r="G119">
        <f>IF($A119="","",IFERROR(SUMIFS(Imported!$G$2:$G$151,Imported!$B$2:$B$151,$B119&amp;"",Imported!$C$2:$C$151,$C119&amp;""),0))</f>
        <v/>
      </c>
      <c r="H119">
        <f>IF($A119="","",IFERROR(SUMIFS(Imported!$H$2:$H$151,Imported!$B$2:$B$151,$B119&amp;"",Imported!$C$2:$C$151,$C119&amp;""),0))</f>
        <v/>
      </c>
    </row>
    <row r="120">
      <c r="A120">
        <f>IF(Roster!A120="","",Roster!A120)</f>
        <v/>
      </c>
      <c r="B120">
        <f>IF($A120="","",Roster!B120)</f>
        <v/>
      </c>
      <c r="C120">
        <f>IF($A120="","",Roster!C120)</f>
        <v/>
      </c>
      <c r="D120">
        <f>IF($A120="","",IFERROR(SUMIFS(Imported!$D$2:$D$151,Imported!$B$2:$B$151,$B120&amp;"",Imported!$C$2:$C$151,$C120&amp;""),0))</f>
        <v/>
      </c>
      <c r="E120">
        <f>IF($A120="","",IFERROR(SUMIFS(Imported!$E$2:$E$151,Imported!$B$2:$B$151,$B120&amp;"",Imported!$C$2:$C$151,$C120&amp;""),0))</f>
        <v/>
      </c>
      <c r="F120" s="16">
        <f>IF($A120="","",IFERROR(SUMIFS(Imported!$F$2:$F$151,Imported!$B$2:$B$151,$B120&amp;"",Imported!$C$2:$C$151,$C120&amp;""),0))</f>
        <v/>
      </c>
      <c r="G120">
        <f>IF($A120="","",IFERROR(SUMIFS(Imported!$G$2:$G$151,Imported!$B$2:$B$151,$B120&amp;"",Imported!$C$2:$C$151,$C120&amp;""),0))</f>
        <v/>
      </c>
      <c r="H120">
        <f>IF($A120="","",IFERROR(SUMIFS(Imported!$H$2:$H$151,Imported!$B$2:$B$151,$B120&amp;"",Imported!$C$2:$C$151,$C120&amp;""),0))</f>
        <v/>
      </c>
    </row>
    <row r="121">
      <c r="A121">
        <f>IF(Roster!A121="","",Roster!A121)</f>
        <v/>
      </c>
      <c r="B121">
        <f>IF($A121="","",Roster!B121)</f>
        <v/>
      </c>
      <c r="C121">
        <f>IF($A121="","",Roster!C121)</f>
        <v/>
      </c>
      <c r="D121">
        <f>IF($A121="","",IFERROR(SUMIFS(Imported!$D$2:$D$151,Imported!$B$2:$B$151,$B121&amp;"",Imported!$C$2:$C$151,$C121&amp;""),0))</f>
        <v/>
      </c>
      <c r="E121">
        <f>IF($A121="","",IFERROR(SUMIFS(Imported!$E$2:$E$151,Imported!$B$2:$B$151,$B121&amp;"",Imported!$C$2:$C$151,$C121&amp;""),0))</f>
        <v/>
      </c>
      <c r="F121" s="16">
        <f>IF($A121="","",IFERROR(SUMIFS(Imported!$F$2:$F$151,Imported!$B$2:$B$151,$B121&amp;"",Imported!$C$2:$C$151,$C121&amp;""),0))</f>
        <v/>
      </c>
      <c r="G121">
        <f>IF($A121="","",IFERROR(SUMIFS(Imported!$G$2:$G$151,Imported!$B$2:$B$151,$B121&amp;"",Imported!$C$2:$C$151,$C121&amp;""),0))</f>
        <v/>
      </c>
      <c r="H121">
        <f>IF($A121="","",IFERROR(SUMIFS(Imported!$H$2:$H$151,Imported!$B$2:$B$151,$B121&amp;"",Imported!$C$2:$C$151,$C121&amp;""),0))</f>
        <v/>
      </c>
    </row>
    <row r="122">
      <c r="A122">
        <f>IF(Roster!A122="","",Roster!A122)</f>
        <v/>
      </c>
      <c r="B122">
        <f>IF($A122="","",Roster!B122)</f>
        <v/>
      </c>
      <c r="C122">
        <f>IF($A122="","",Roster!C122)</f>
        <v/>
      </c>
      <c r="D122">
        <f>IF($A122="","",IFERROR(SUMIFS(Imported!$D$2:$D$151,Imported!$B$2:$B$151,$B122&amp;"",Imported!$C$2:$C$151,$C122&amp;""),0))</f>
        <v/>
      </c>
      <c r="E122">
        <f>IF($A122="","",IFERROR(SUMIFS(Imported!$E$2:$E$151,Imported!$B$2:$B$151,$B122&amp;"",Imported!$C$2:$C$151,$C122&amp;""),0))</f>
        <v/>
      </c>
      <c r="F122" s="16">
        <f>IF($A122="","",IFERROR(SUMIFS(Imported!$F$2:$F$151,Imported!$B$2:$B$151,$B122&amp;"",Imported!$C$2:$C$151,$C122&amp;""),0))</f>
        <v/>
      </c>
      <c r="G122">
        <f>IF($A122="","",IFERROR(SUMIFS(Imported!$G$2:$G$151,Imported!$B$2:$B$151,$B122&amp;"",Imported!$C$2:$C$151,$C122&amp;""),0))</f>
        <v/>
      </c>
      <c r="H122">
        <f>IF($A122="","",IFERROR(SUMIFS(Imported!$H$2:$H$151,Imported!$B$2:$B$151,$B122&amp;"",Imported!$C$2:$C$151,$C122&amp;""),0))</f>
        <v/>
      </c>
    </row>
    <row r="123">
      <c r="A123">
        <f>IF(Roster!A123="","",Roster!A123)</f>
        <v/>
      </c>
      <c r="B123">
        <f>IF($A123="","",Roster!B123)</f>
        <v/>
      </c>
      <c r="C123">
        <f>IF($A123="","",Roster!C123)</f>
        <v/>
      </c>
      <c r="D123">
        <f>IF($A123="","",IFERROR(SUMIFS(Imported!$D$2:$D$151,Imported!$B$2:$B$151,$B123&amp;"",Imported!$C$2:$C$151,$C123&amp;""),0))</f>
        <v/>
      </c>
      <c r="E123">
        <f>IF($A123="","",IFERROR(SUMIFS(Imported!$E$2:$E$151,Imported!$B$2:$B$151,$B123&amp;"",Imported!$C$2:$C$151,$C123&amp;""),0))</f>
        <v/>
      </c>
      <c r="F123" s="16">
        <f>IF($A123="","",IFERROR(SUMIFS(Imported!$F$2:$F$151,Imported!$B$2:$B$151,$B123&amp;"",Imported!$C$2:$C$151,$C123&amp;""),0))</f>
        <v/>
      </c>
      <c r="G123">
        <f>IF($A123="","",IFERROR(SUMIFS(Imported!$G$2:$G$151,Imported!$B$2:$B$151,$B123&amp;"",Imported!$C$2:$C$151,$C123&amp;""),0))</f>
        <v/>
      </c>
      <c r="H123">
        <f>IF($A123="","",IFERROR(SUMIFS(Imported!$H$2:$H$151,Imported!$B$2:$B$151,$B123&amp;"",Imported!$C$2:$C$151,$C123&amp;""),0))</f>
        <v/>
      </c>
    </row>
    <row r="124">
      <c r="A124">
        <f>IF(Roster!A124="","",Roster!A124)</f>
        <v/>
      </c>
      <c r="B124">
        <f>IF($A124="","",Roster!B124)</f>
        <v/>
      </c>
      <c r="C124">
        <f>IF($A124="","",Roster!C124)</f>
        <v/>
      </c>
      <c r="D124">
        <f>IF($A124="","",IFERROR(SUMIFS(Imported!$D$2:$D$151,Imported!$B$2:$B$151,$B124&amp;"",Imported!$C$2:$C$151,$C124&amp;""),0))</f>
        <v/>
      </c>
      <c r="E124">
        <f>IF($A124="","",IFERROR(SUMIFS(Imported!$E$2:$E$151,Imported!$B$2:$B$151,$B124&amp;"",Imported!$C$2:$C$151,$C124&amp;""),0))</f>
        <v/>
      </c>
      <c r="F124" s="16">
        <f>IF($A124="","",IFERROR(SUMIFS(Imported!$F$2:$F$151,Imported!$B$2:$B$151,$B124&amp;"",Imported!$C$2:$C$151,$C124&amp;""),0))</f>
        <v/>
      </c>
      <c r="G124">
        <f>IF($A124="","",IFERROR(SUMIFS(Imported!$G$2:$G$151,Imported!$B$2:$B$151,$B124&amp;"",Imported!$C$2:$C$151,$C124&amp;""),0))</f>
        <v/>
      </c>
      <c r="H124">
        <f>IF($A124="","",IFERROR(SUMIFS(Imported!$H$2:$H$151,Imported!$B$2:$B$151,$B124&amp;"",Imported!$C$2:$C$151,$C124&amp;""),0))</f>
        <v/>
      </c>
    </row>
    <row r="125">
      <c r="A125">
        <f>IF(Roster!A125="","",Roster!A125)</f>
        <v/>
      </c>
      <c r="B125">
        <f>IF($A125="","",Roster!B125)</f>
        <v/>
      </c>
      <c r="C125">
        <f>IF($A125="","",Roster!C125)</f>
        <v/>
      </c>
      <c r="D125">
        <f>IF($A125="","",IFERROR(SUMIFS(Imported!$D$2:$D$151,Imported!$B$2:$B$151,$B125&amp;"",Imported!$C$2:$C$151,$C125&amp;""),0))</f>
        <v/>
      </c>
      <c r="E125">
        <f>IF($A125="","",IFERROR(SUMIFS(Imported!$E$2:$E$151,Imported!$B$2:$B$151,$B125&amp;"",Imported!$C$2:$C$151,$C125&amp;""),0))</f>
        <v/>
      </c>
      <c r="F125" s="16">
        <f>IF($A125="","",IFERROR(SUMIFS(Imported!$F$2:$F$151,Imported!$B$2:$B$151,$B125&amp;"",Imported!$C$2:$C$151,$C125&amp;""),0))</f>
        <v/>
      </c>
      <c r="G125">
        <f>IF($A125="","",IFERROR(SUMIFS(Imported!$G$2:$G$151,Imported!$B$2:$B$151,$B125&amp;"",Imported!$C$2:$C$151,$C125&amp;""),0))</f>
        <v/>
      </c>
      <c r="H125">
        <f>IF($A125="","",IFERROR(SUMIFS(Imported!$H$2:$H$151,Imported!$B$2:$B$151,$B125&amp;"",Imported!$C$2:$C$151,$C125&amp;""),0))</f>
        <v/>
      </c>
    </row>
    <row r="126">
      <c r="A126">
        <f>IF(Roster!A126="","",Roster!A126)</f>
        <v/>
      </c>
      <c r="B126">
        <f>IF($A126="","",Roster!B126)</f>
        <v/>
      </c>
      <c r="C126">
        <f>IF($A126="","",Roster!C126)</f>
        <v/>
      </c>
      <c r="D126">
        <f>IF($A126="","",IFERROR(SUMIFS(Imported!$D$2:$D$151,Imported!$B$2:$B$151,$B126&amp;"",Imported!$C$2:$C$151,$C126&amp;""),0))</f>
        <v/>
      </c>
      <c r="E126">
        <f>IF($A126="","",IFERROR(SUMIFS(Imported!$E$2:$E$151,Imported!$B$2:$B$151,$B126&amp;"",Imported!$C$2:$C$151,$C126&amp;""),0))</f>
        <v/>
      </c>
      <c r="F126" s="16">
        <f>IF($A126="","",IFERROR(SUMIFS(Imported!$F$2:$F$151,Imported!$B$2:$B$151,$B126&amp;"",Imported!$C$2:$C$151,$C126&amp;""),0))</f>
        <v/>
      </c>
      <c r="G126">
        <f>IF($A126="","",IFERROR(SUMIFS(Imported!$G$2:$G$151,Imported!$B$2:$B$151,$B126&amp;"",Imported!$C$2:$C$151,$C126&amp;""),0))</f>
        <v/>
      </c>
      <c r="H126">
        <f>IF($A126="","",IFERROR(SUMIFS(Imported!$H$2:$H$151,Imported!$B$2:$B$151,$B126&amp;"",Imported!$C$2:$C$151,$C126&amp;""),0))</f>
        <v/>
      </c>
    </row>
    <row r="127">
      <c r="A127">
        <f>IF(Roster!A127="","",Roster!A127)</f>
        <v/>
      </c>
      <c r="B127">
        <f>IF($A127="","",Roster!B127)</f>
        <v/>
      </c>
      <c r="C127">
        <f>IF($A127="","",Roster!C127)</f>
        <v/>
      </c>
      <c r="D127">
        <f>IF($A127="","",IFERROR(SUMIFS(Imported!$D$2:$D$151,Imported!$B$2:$B$151,$B127&amp;"",Imported!$C$2:$C$151,$C127&amp;""),0))</f>
        <v/>
      </c>
      <c r="E127">
        <f>IF($A127="","",IFERROR(SUMIFS(Imported!$E$2:$E$151,Imported!$B$2:$B$151,$B127&amp;"",Imported!$C$2:$C$151,$C127&amp;""),0))</f>
        <v/>
      </c>
      <c r="F127" s="16">
        <f>IF($A127="","",IFERROR(SUMIFS(Imported!$F$2:$F$151,Imported!$B$2:$B$151,$B127&amp;"",Imported!$C$2:$C$151,$C127&amp;""),0))</f>
        <v/>
      </c>
      <c r="G127">
        <f>IF($A127="","",IFERROR(SUMIFS(Imported!$G$2:$G$151,Imported!$B$2:$B$151,$B127&amp;"",Imported!$C$2:$C$151,$C127&amp;""),0))</f>
        <v/>
      </c>
      <c r="H127">
        <f>IF($A127="","",IFERROR(SUMIFS(Imported!$H$2:$H$151,Imported!$B$2:$B$151,$B127&amp;"",Imported!$C$2:$C$151,$C127&amp;""),0))</f>
        <v/>
      </c>
    </row>
    <row r="128">
      <c r="A128">
        <f>IF(Roster!A128="","",Roster!A128)</f>
        <v/>
      </c>
      <c r="B128">
        <f>IF($A128="","",Roster!B128)</f>
        <v/>
      </c>
      <c r="C128">
        <f>IF($A128="","",Roster!C128)</f>
        <v/>
      </c>
      <c r="D128">
        <f>IF($A128="","",IFERROR(SUMIFS(Imported!$D$2:$D$151,Imported!$B$2:$B$151,$B128&amp;"",Imported!$C$2:$C$151,$C128&amp;""),0))</f>
        <v/>
      </c>
      <c r="E128">
        <f>IF($A128="","",IFERROR(SUMIFS(Imported!$E$2:$E$151,Imported!$B$2:$B$151,$B128&amp;"",Imported!$C$2:$C$151,$C128&amp;""),0))</f>
        <v/>
      </c>
      <c r="F128" s="16">
        <f>IF($A128="","",IFERROR(SUMIFS(Imported!$F$2:$F$151,Imported!$B$2:$B$151,$B128&amp;"",Imported!$C$2:$C$151,$C128&amp;""),0))</f>
        <v/>
      </c>
      <c r="G128">
        <f>IF($A128="","",IFERROR(SUMIFS(Imported!$G$2:$G$151,Imported!$B$2:$B$151,$B128&amp;"",Imported!$C$2:$C$151,$C128&amp;""),0))</f>
        <v/>
      </c>
      <c r="H128">
        <f>IF($A128="","",IFERROR(SUMIFS(Imported!$H$2:$H$151,Imported!$B$2:$B$151,$B128&amp;"",Imported!$C$2:$C$151,$C128&amp;""),0))</f>
        <v/>
      </c>
    </row>
    <row r="129">
      <c r="A129">
        <f>IF(Roster!A129="","",Roster!A129)</f>
        <v/>
      </c>
      <c r="B129">
        <f>IF($A129="","",Roster!B129)</f>
        <v/>
      </c>
      <c r="C129">
        <f>IF($A129="","",Roster!C129)</f>
        <v/>
      </c>
      <c r="D129">
        <f>IF($A129="","",IFERROR(SUMIFS(Imported!$D$2:$D$151,Imported!$B$2:$B$151,$B129&amp;"",Imported!$C$2:$C$151,$C129&amp;""),0))</f>
        <v/>
      </c>
      <c r="E129">
        <f>IF($A129="","",IFERROR(SUMIFS(Imported!$E$2:$E$151,Imported!$B$2:$B$151,$B129&amp;"",Imported!$C$2:$C$151,$C129&amp;""),0))</f>
        <v/>
      </c>
      <c r="F129" s="16">
        <f>IF($A129="","",IFERROR(SUMIFS(Imported!$F$2:$F$151,Imported!$B$2:$B$151,$B129&amp;"",Imported!$C$2:$C$151,$C129&amp;""),0))</f>
        <v/>
      </c>
      <c r="G129">
        <f>IF($A129="","",IFERROR(SUMIFS(Imported!$G$2:$G$151,Imported!$B$2:$B$151,$B129&amp;"",Imported!$C$2:$C$151,$C129&amp;""),0))</f>
        <v/>
      </c>
      <c r="H129">
        <f>IF($A129="","",IFERROR(SUMIFS(Imported!$H$2:$H$151,Imported!$B$2:$B$151,$B129&amp;"",Imported!$C$2:$C$151,$C129&amp;""),0))</f>
        <v/>
      </c>
    </row>
    <row r="130">
      <c r="A130">
        <f>IF(Roster!A130="","",Roster!A130)</f>
        <v/>
      </c>
      <c r="B130">
        <f>IF($A130="","",Roster!B130)</f>
        <v/>
      </c>
      <c r="C130">
        <f>IF($A130="","",Roster!C130)</f>
        <v/>
      </c>
      <c r="D130">
        <f>IF($A130="","",IFERROR(SUMIFS(Imported!$D$2:$D$151,Imported!$B$2:$B$151,$B130&amp;"",Imported!$C$2:$C$151,$C130&amp;""),0))</f>
        <v/>
      </c>
      <c r="E130">
        <f>IF($A130="","",IFERROR(SUMIFS(Imported!$E$2:$E$151,Imported!$B$2:$B$151,$B130&amp;"",Imported!$C$2:$C$151,$C130&amp;""),0))</f>
        <v/>
      </c>
      <c r="F130" s="16">
        <f>IF($A130="","",IFERROR(SUMIFS(Imported!$F$2:$F$151,Imported!$B$2:$B$151,$B130&amp;"",Imported!$C$2:$C$151,$C130&amp;""),0))</f>
        <v/>
      </c>
      <c r="G130">
        <f>IF($A130="","",IFERROR(SUMIFS(Imported!$G$2:$G$151,Imported!$B$2:$B$151,$B130&amp;"",Imported!$C$2:$C$151,$C130&amp;""),0))</f>
        <v/>
      </c>
      <c r="H130">
        <f>IF($A130="","",IFERROR(SUMIFS(Imported!$H$2:$H$151,Imported!$B$2:$B$151,$B130&amp;"",Imported!$C$2:$C$151,$C130&amp;""),0))</f>
        <v/>
      </c>
    </row>
    <row r="131">
      <c r="A131">
        <f>IF(Roster!A131="","",Roster!A131)</f>
        <v/>
      </c>
      <c r="B131">
        <f>IF($A131="","",Roster!B131)</f>
        <v/>
      </c>
      <c r="C131">
        <f>IF($A131="","",Roster!C131)</f>
        <v/>
      </c>
      <c r="D131">
        <f>IF($A131="","",IFERROR(SUMIFS(Imported!$D$2:$D$151,Imported!$B$2:$B$151,$B131&amp;"",Imported!$C$2:$C$151,$C131&amp;""),0))</f>
        <v/>
      </c>
      <c r="E131">
        <f>IF($A131="","",IFERROR(SUMIFS(Imported!$E$2:$E$151,Imported!$B$2:$B$151,$B131&amp;"",Imported!$C$2:$C$151,$C131&amp;""),0))</f>
        <v/>
      </c>
      <c r="F131" s="16">
        <f>IF($A131="","",IFERROR(SUMIFS(Imported!$F$2:$F$151,Imported!$B$2:$B$151,$B131&amp;"",Imported!$C$2:$C$151,$C131&amp;""),0))</f>
        <v/>
      </c>
      <c r="G131">
        <f>IF($A131="","",IFERROR(SUMIFS(Imported!$G$2:$G$151,Imported!$B$2:$B$151,$B131&amp;"",Imported!$C$2:$C$151,$C131&amp;""),0))</f>
        <v/>
      </c>
      <c r="H131">
        <f>IF($A131="","",IFERROR(SUMIFS(Imported!$H$2:$H$151,Imported!$B$2:$B$151,$B131&amp;"",Imported!$C$2:$C$151,$C131&amp;""),0))</f>
        <v/>
      </c>
    </row>
    <row r="132">
      <c r="A132">
        <f>IF(Roster!A132="","",Roster!A132)</f>
        <v/>
      </c>
      <c r="B132">
        <f>IF($A132="","",Roster!B132)</f>
        <v/>
      </c>
      <c r="C132">
        <f>IF($A132="","",Roster!C132)</f>
        <v/>
      </c>
      <c r="D132">
        <f>IF($A132="","",IFERROR(SUMIFS(Imported!$D$2:$D$151,Imported!$B$2:$B$151,$B132&amp;"",Imported!$C$2:$C$151,$C132&amp;""),0))</f>
        <v/>
      </c>
      <c r="E132">
        <f>IF($A132="","",IFERROR(SUMIFS(Imported!$E$2:$E$151,Imported!$B$2:$B$151,$B132&amp;"",Imported!$C$2:$C$151,$C132&amp;""),0))</f>
        <v/>
      </c>
      <c r="F132" s="16">
        <f>IF($A132="","",IFERROR(SUMIFS(Imported!$F$2:$F$151,Imported!$B$2:$B$151,$B132&amp;"",Imported!$C$2:$C$151,$C132&amp;""),0))</f>
        <v/>
      </c>
      <c r="G132">
        <f>IF($A132="","",IFERROR(SUMIFS(Imported!$G$2:$G$151,Imported!$B$2:$B$151,$B132&amp;"",Imported!$C$2:$C$151,$C132&amp;""),0))</f>
        <v/>
      </c>
      <c r="H132">
        <f>IF($A132="","",IFERROR(SUMIFS(Imported!$H$2:$H$151,Imported!$B$2:$B$151,$B132&amp;"",Imported!$C$2:$C$151,$C132&amp;""),0))</f>
        <v/>
      </c>
    </row>
    <row r="133">
      <c r="A133">
        <f>IF(Roster!A133="","",Roster!A133)</f>
        <v/>
      </c>
      <c r="B133">
        <f>IF($A133="","",Roster!B133)</f>
        <v/>
      </c>
      <c r="C133">
        <f>IF($A133="","",Roster!C133)</f>
        <v/>
      </c>
      <c r="D133">
        <f>IF($A133="","",IFERROR(SUMIFS(Imported!$D$2:$D$151,Imported!$B$2:$B$151,$B133&amp;"",Imported!$C$2:$C$151,$C133&amp;""),0))</f>
        <v/>
      </c>
      <c r="E133">
        <f>IF($A133="","",IFERROR(SUMIFS(Imported!$E$2:$E$151,Imported!$B$2:$B$151,$B133&amp;"",Imported!$C$2:$C$151,$C133&amp;""),0))</f>
        <v/>
      </c>
      <c r="F133" s="16">
        <f>IF($A133="","",IFERROR(SUMIFS(Imported!$F$2:$F$151,Imported!$B$2:$B$151,$B133&amp;"",Imported!$C$2:$C$151,$C133&amp;""),0))</f>
        <v/>
      </c>
      <c r="G133">
        <f>IF($A133="","",IFERROR(SUMIFS(Imported!$G$2:$G$151,Imported!$B$2:$B$151,$B133&amp;"",Imported!$C$2:$C$151,$C133&amp;""),0))</f>
        <v/>
      </c>
      <c r="H133">
        <f>IF($A133="","",IFERROR(SUMIFS(Imported!$H$2:$H$151,Imported!$B$2:$B$151,$B133&amp;"",Imported!$C$2:$C$151,$C133&amp;""),0))</f>
        <v/>
      </c>
    </row>
    <row r="134">
      <c r="A134">
        <f>IF(Roster!A134="","",Roster!A134)</f>
        <v/>
      </c>
      <c r="B134">
        <f>IF($A134="","",Roster!B134)</f>
        <v/>
      </c>
      <c r="C134">
        <f>IF($A134="","",Roster!C134)</f>
        <v/>
      </c>
      <c r="D134">
        <f>IF($A134="","",IFERROR(SUMIFS(Imported!$D$2:$D$151,Imported!$B$2:$B$151,$B134&amp;"",Imported!$C$2:$C$151,$C134&amp;""),0))</f>
        <v/>
      </c>
      <c r="E134">
        <f>IF($A134="","",IFERROR(SUMIFS(Imported!$E$2:$E$151,Imported!$B$2:$B$151,$B134&amp;"",Imported!$C$2:$C$151,$C134&amp;""),0))</f>
        <v/>
      </c>
      <c r="F134" s="16">
        <f>IF($A134="","",IFERROR(SUMIFS(Imported!$F$2:$F$151,Imported!$B$2:$B$151,$B134&amp;"",Imported!$C$2:$C$151,$C134&amp;""),0))</f>
        <v/>
      </c>
      <c r="G134">
        <f>IF($A134="","",IFERROR(SUMIFS(Imported!$G$2:$G$151,Imported!$B$2:$B$151,$B134&amp;"",Imported!$C$2:$C$151,$C134&amp;""),0))</f>
        <v/>
      </c>
      <c r="H134">
        <f>IF($A134="","",IFERROR(SUMIFS(Imported!$H$2:$H$151,Imported!$B$2:$B$151,$B134&amp;"",Imported!$C$2:$C$151,$C134&amp;""),0))</f>
        <v/>
      </c>
    </row>
    <row r="135">
      <c r="A135">
        <f>IF(Roster!A135="","",Roster!A135)</f>
        <v/>
      </c>
      <c r="B135">
        <f>IF($A135="","",Roster!B135)</f>
        <v/>
      </c>
      <c r="C135">
        <f>IF($A135="","",Roster!C135)</f>
        <v/>
      </c>
      <c r="D135">
        <f>IF($A135="","",IFERROR(SUMIFS(Imported!$D$2:$D$151,Imported!$B$2:$B$151,$B135&amp;"",Imported!$C$2:$C$151,$C135&amp;""),0))</f>
        <v/>
      </c>
      <c r="E135">
        <f>IF($A135="","",IFERROR(SUMIFS(Imported!$E$2:$E$151,Imported!$B$2:$B$151,$B135&amp;"",Imported!$C$2:$C$151,$C135&amp;""),0))</f>
        <v/>
      </c>
      <c r="F135" s="16">
        <f>IF($A135="","",IFERROR(SUMIFS(Imported!$F$2:$F$151,Imported!$B$2:$B$151,$B135&amp;"",Imported!$C$2:$C$151,$C135&amp;""),0))</f>
        <v/>
      </c>
      <c r="G135">
        <f>IF($A135="","",IFERROR(SUMIFS(Imported!$G$2:$G$151,Imported!$B$2:$B$151,$B135&amp;"",Imported!$C$2:$C$151,$C135&amp;""),0))</f>
        <v/>
      </c>
      <c r="H135">
        <f>IF($A135="","",IFERROR(SUMIFS(Imported!$H$2:$H$151,Imported!$B$2:$B$151,$B135&amp;"",Imported!$C$2:$C$151,$C135&amp;""),0))</f>
        <v/>
      </c>
    </row>
    <row r="136">
      <c r="A136">
        <f>IF(Roster!A136="","",Roster!A136)</f>
        <v/>
      </c>
      <c r="B136">
        <f>IF($A136="","",Roster!B136)</f>
        <v/>
      </c>
      <c r="C136">
        <f>IF($A136="","",Roster!C136)</f>
        <v/>
      </c>
      <c r="D136">
        <f>IF($A136="","",IFERROR(SUMIFS(Imported!$D$2:$D$151,Imported!$B$2:$B$151,$B136&amp;"",Imported!$C$2:$C$151,$C136&amp;""),0))</f>
        <v/>
      </c>
      <c r="E136">
        <f>IF($A136="","",IFERROR(SUMIFS(Imported!$E$2:$E$151,Imported!$B$2:$B$151,$B136&amp;"",Imported!$C$2:$C$151,$C136&amp;""),0))</f>
        <v/>
      </c>
      <c r="F136" s="16">
        <f>IF($A136="","",IFERROR(SUMIFS(Imported!$F$2:$F$151,Imported!$B$2:$B$151,$B136&amp;"",Imported!$C$2:$C$151,$C136&amp;""),0))</f>
        <v/>
      </c>
      <c r="G136">
        <f>IF($A136="","",IFERROR(SUMIFS(Imported!$G$2:$G$151,Imported!$B$2:$B$151,$B136&amp;"",Imported!$C$2:$C$151,$C136&amp;""),0))</f>
        <v/>
      </c>
      <c r="H136">
        <f>IF($A136="","",IFERROR(SUMIFS(Imported!$H$2:$H$151,Imported!$B$2:$B$151,$B136&amp;"",Imported!$C$2:$C$151,$C136&amp;""),0))</f>
        <v/>
      </c>
    </row>
    <row r="137">
      <c r="A137">
        <f>IF(Roster!A137="","",Roster!A137)</f>
        <v/>
      </c>
      <c r="B137">
        <f>IF($A137="","",Roster!B137)</f>
        <v/>
      </c>
      <c r="C137">
        <f>IF($A137="","",Roster!C137)</f>
        <v/>
      </c>
      <c r="D137">
        <f>IF($A137="","",IFERROR(SUMIFS(Imported!$D$2:$D$151,Imported!$B$2:$B$151,$B137&amp;"",Imported!$C$2:$C$151,$C137&amp;""),0))</f>
        <v/>
      </c>
      <c r="E137">
        <f>IF($A137="","",IFERROR(SUMIFS(Imported!$E$2:$E$151,Imported!$B$2:$B$151,$B137&amp;"",Imported!$C$2:$C$151,$C137&amp;""),0))</f>
        <v/>
      </c>
      <c r="F137" s="16">
        <f>IF($A137="","",IFERROR(SUMIFS(Imported!$F$2:$F$151,Imported!$B$2:$B$151,$B137&amp;"",Imported!$C$2:$C$151,$C137&amp;""),0))</f>
        <v/>
      </c>
      <c r="G137">
        <f>IF($A137="","",IFERROR(SUMIFS(Imported!$G$2:$G$151,Imported!$B$2:$B$151,$B137&amp;"",Imported!$C$2:$C$151,$C137&amp;""),0))</f>
        <v/>
      </c>
      <c r="H137">
        <f>IF($A137="","",IFERROR(SUMIFS(Imported!$H$2:$H$151,Imported!$B$2:$B$151,$B137&amp;"",Imported!$C$2:$C$151,$C137&amp;""),0))</f>
        <v/>
      </c>
    </row>
    <row r="138">
      <c r="A138">
        <f>IF(Roster!A138="","",Roster!A138)</f>
        <v/>
      </c>
      <c r="B138">
        <f>IF($A138="","",Roster!B138)</f>
        <v/>
      </c>
      <c r="C138">
        <f>IF($A138="","",Roster!C138)</f>
        <v/>
      </c>
      <c r="D138">
        <f>IF($A138="","",IFERROR(SUMIFS(Imported!$D$2:$D$151,Imported!$B$2:$B$151,$B138&amp;"",Imported!$C$2:$C$151,$C138&amp;""),0))</f>
        <v/>
      </c>
      <c r="E138">
        <f>IF($A138="","",IFERROR(SUMIFS(Imported!$E$2:$E$151,Imported!$B$2:$B$151,$B138&amp;"",Imported!$C$2:$C$151,$C138&amp;""),0))</f>
        <v/>
      </c>
      <c r="F138" s="16">
        <f>IF($A138="","",IFERROR(SUMIFS(Imported!$F$2:$F$151,Imported!$B$2:$B$151,$B138&amp;"",Imported!$C$2:$C$151,$C138&amp;""),0))</f>
        <v/>
      </c>
      <c r="G138">
        <f>IF($A138="","",IFERROR(SUMIFS(Imported!$G$2:$G$151,Imported!$B$2:$B$151,$B138&amp;"",Imported!$C$2:$C$151,$C138&amp;""),0))</f>
        <v/>
      </c>
      <c r="H138">
        <f>IF($A138="","",IFERROR(SUMIFS(Imported!$H$2:$H$151,Imported!$B$2:$B$151,$B138&amp;"",Imported!$C$2:$C$151,$C138&amp;""),0))</f>
        <v/>
      </c>
    </row>
    <row r="139">
      <c r="A139">
        <f>IF(Roster!A139="","",Roster!A139)</f>
        <v/>
      </c>
      <c r="B139">
        <f>IF($A139="","",Roster!B139)</f>
        <v/>
      </c>
      <c r="C139">
        <f>IF($A139="","",Roster!C139)</f>
        <v/>
      </c>
      <c r="D139">
        <f>IF($A139="","",IFERROR(SUMIFS(Imported!$D$2:$D$151,Imported!$B$2:$B$151,$B139&amp;"",Imported!$C$2:$C$151,$C139&amp;""),0))</f>
        <v/>
      </c>
      <c r="E139">
        <f>IF($A139="","",IFERROR(SUMIFS(Imported!$E$2:$E$151,Imported!$B$2:$B$151,$B139&amp;"",Imported!$C$2:$C$151,$C139&amp;""),0))</f>
        <v/>
      </c>
      <c r="F139" s="16">
        <f>IF($A139="","",IFERROR(SUMIFS(Imported!$F$2:$F$151,Imported!$B$2:$B$151,$B139&amp;"",Imported!$C$2:$C$151,$C139&amp;""),0))</f>
        <v/>
      </c>
      <c r="G139">
        <f>IF($A139="","",IFERROR(SUMIFS(Imported!$G$2:$G$151,Imported!$B$2:$B$151,$B139&amp;"",Imported!$C$2:$C$151,$C139&amp;""),0))</f>
        <v/>
      </c>
      <c r="H139">
        <f>IF($A139="","",IFERROR(SUMIFS(Imported!$H$2:$H$151,Imported!$B$2:$B$151,$B139&amp;"",Imported!$C$2:$C$151,$C139&amp;""),0))</f>
        <v/>
      </c>
    </row>
    <row r="140">
      <c r="A140">
        <f>IF(Roster!A140="","",Roster!A140)</f>
        <v/>
      </c>
      <c r="B140">
        <f>IF($A140="","",Roster!B140)</f>
        <v/>
      </c>
      <c r="C140">
        <f>IF($A140="","",Roster!C140)</f>
        <v/>
      </c>
      <c r="D140">
        <f>IF($A140="","",IFERROR(SUMIFS(Imported!$D$2:$D$151,Imported!$B$2:$B$151,$B140&amp;"",Imported!$C$2:$C$151,$C140&amp;""),0))</f>
        <v/>
      </c>
      <c r="E140">
        <f>IF($A140="","",IFERROR(SUMIFS(Imported!$E$2:$E$151,Imported!$B$2:$B$151,$B140&amp;"",Imported!$C$2:$C$151,$C140&amp;""),0))</f>
        <v/>
      </c>
      <c r="F140" s="16">
        <f>IF($A140="","",IFERROR(SUMIFS(Imported!$F$2:$F$151,Imported!$B$2:$B$151,$B140&amp;"",Imported!$C$2:$C$151,$C140&amp;""),0))</f>
        <v/>
      </c>
      <c r="G140">
        <f>IF($A140="","",IFERROR(SUMIFS(Imported!$G$2:$G$151,Imported!$B$2:$B$151,$B140&amp;"",Imported!$C$2:$C$151,$C140&amp;""),0))</f>
        <v/>
      </c>
      <c r="H140">
        <f>IF($A140="","",IFERROR(SUMIFS(Imported!$H$2:$H$151,Imported!$B$2:$B$151,$B140&amp;"",Imported!$C$2:$C$151,$C140&amp;""),0))</f>
        <v/>
      </c>
    </row>
    <row r="141">
      <c r="A141">
        <f>IF(Roster!A141="","",Roster!A141)</f>
        <v/>
      </c>
      <c r="B141">
        <f>IF($A141="","",Roster!B141)</f>
        <v/>
      </c>
      <c r="C141">
        <f>IF($A141="","",Roster!C141)</f>
        <v/>
      </c>
      <c r="D141">
        <f>IF($A141="","",IFERROR(SUMIFS(Imported!$D$2:$D$151,Imported!$B$2:$B$151,$B141&amp;"",Imported!$C$2:$C$151,$C141&amp;""),0))</f>
        <v/>
      </c>
      <c r="E141">
        <f>IF($A141="","",IFERROR(SUMIFS(Imported!$E$2:$E$151,Imported!$B$2:$B$151,$B141&amp;"",Imported!$C$2:$C$151,$C141&amp;""),0))</f>
        <v/>
      </c>
      <c r="F141" s="16">
        <f>IF($A141="","",IFERROR(SUMIFS(Imported!$F$2:$F$151,Imported!$B$2:$B$151,$B141&amp;"",Imported!$C$2:$C$151,$C141&amp;""),0))</f>
        <v/>
      </c>
      <c r="G141">
        <f>IF($A141="","",IFERROR(SUMIFS(Imported!$G$2:$G$151,Imported!$B$2:$B$151,$B141&amp;"",Imported!$C$2:$C$151,$C141&amp;""),0))</f>
        <v/>
      </c>
      <c r="H141">
        <f>IF($A141="","",IFERROR(SUMIFS(Imported!$H$2:$H$151,Imported!$B$2:$B$151,$B141&amp;"",Imported!$C$2:$C$151,$C141&amp;""),0))</f>
        <v/>
      </c>
    </row>
    <row r="142">
      <c r="A142">
        <f>IF(Roster!A142="","",Roster!A142)</f>
        <v/>
      </c>
      <c r="B142">
        <f>IF($A142="","",Roster!B142)</f>
        <v/>
      </c>
      <c r="C142">
        <f>IF($A142="","",Roster!C142)</f>
        <v/>
      </c>
      <c r="D142">
        <f>IF($A142="","",IFERROR(SUMIFS(Imported!$D$2:$D$151,Imported!$B$2:$B$151,$B142&amp;"",Imported!$C$2:$C$151,$C142&amp;""),0))</f>
        <v/>
      </c>
      <c r="E142">
        <f>IF($A142="","",IFERROR(SUMIFS(Imported!$E$2:$E$151,Imported!$B$2:$B$151,$B142&amp;"",Imported!$C$2:$C$151,$C142&amp;""),0))</f>
        <v/>
      </c>
      <c r="F142" s="16">
        <f>IF($A142="","",IFERROR(SUMIFS(Imported!$F$2:$F$151,Imported!$B$2:$B$151,$B142&amp;"",Imported!$C$2:$C$151,$C142&amp;""),0))</f>
        <v/>
      </c>
      <c r="G142">
        <f>IF($A142="","",IFERROR(SUMIFS(Imported!$G$2:$G$151,Imported!$B$2:$B$151,$B142&amp;"",Imported!$C$2:$C$151,$C142&amp;""),0))</f>
        <v/>
      </c>
      <c r="H142">
        <f>IF($A142="","",IFERROR(SUMIFS(Imported!$H$2:$H$151,Imported!$B$2:$B$151,$B142&amp;"",Imported!$C$2:$C$151,$C142&amp;""),0))</f>
        <v/>
      </c>
    </row>
    <row r="143">
      <c r="A143">
        <f>IF(Roster!A143="","",Roster!A143)</f>
        <v/>
      </c>
      <c r="B143">
        <f>IF($A143="","",Roster!B143)</f>
        <v/>
      </c>
      <c r="C143">
        <f>IF($A143="","",Roster!C143)</f>
        <v/>
      </c>
      <c r="D143">
        <f>IF($A143="","",IFERROR(SUMIFS(Imported!$D$2:$D$151,Imported!$B$2:$B$151,$B143&amp;"",Imported!$C$2:$C$151,$C143&amp;""),0))</f>
        <v/>
      </c>
      <c r="E143">
        <f>IF($A143="","",IFERROR(SUMIFS(Imported!$E$2:$E$151,Imported!$B$2:$B$151,$B143&amp;"",Imported!$C$2:$C$151,$C143&amp;""),0))</f>
        <v/>
      </c>
      <c r="F143" s="16">
        <f>IF($A143="","",IFERROR(SUMIFS(Imported!$F$2:$F$151,Imported!$B$2:$B$151,$B143&amp;"",Imported!$C$2:$C$151,$C143&amp;""),0))</f>
        <v/>
      </c>
      <c r="G143">
        <f>IF($A143="","",IFERROR(SUMIFS(Imported!$G$2:$G$151,Imported!$B$2:$B$151,$B143&amp;"",Imported!$C$2:$C$151,$C143&amp;""),0))</f>
        <v/>
      </c>
      <c r="H143">
        <f>IF($A143="","",IFERROR(SUMIFS(Imported!$H$2:$H$151,Imported!$B$2:$B$151,$B143&amp;"",Imported!$C$2:$C$151,$C143&amp;""),0))</f>
        <v/>
      </c>
    </row>
    <row r="144">
      <c r="A144">
        <f>IF(Roster!A144="","",Roster!A144)</f>
        <v/>
      </c>
      <c r="B144">
        <f>IF($A144="","",Roster!B144)</f>
        <v/>
      </c>
      <c r="C144">
        <f>IF($A144="","",Roster!C144)</f>
        <v/>
      </c>
      <c r="D144">
        <f>IF($A144="","",IFERROR(SUMIFS(Imported!$D$2:$D$151,Imported!$B$2:$B$151,$B144&amp;"",Imported!$C$2:$C$151,$C144&amp;""),0))</f>
        <v/>
      </c>
      <c r="E144">
        <f>IF($A144="","",IFERROR(SUMIFS(Imported!$E$2:$E$151,Imported!$B$2:$B$151,$B144&amp;"",Imported!$C$2:$C$151,$C144&amp;""),0))</f>
        <v/>
      </c>
      <c r="F144" s="16">
        <f>IF($A144="","",IFERROR(SUMIFS(Imported!$F$2:$F$151,Imported!$B$2:$B$151,$B144&amp;"",Imported!$C$2:$C$151,$C144&amp;""),0))</f>
        <v/>
      </c>
      <c r="G144">
        <f>IF($A144="","",IFERROR(SUMIFS(Imported!$G$2:$G$151,Imported!$B$2:$B$151,$B144&amp;"",Imported!$C$2:$C$151,$C144&amp;""),0))</f>
        <v/>
      </c>
      <c r="H144">
        <f>IF($A144="","",IFERROR(SUMIFS(Imported!$H$2:$H$151,Imported!$B$2:$B$151,$B144&amp;"",Imported!$C$2:$C$151,$C144&amp;""),0))</f>
        <v/>
      </c>
    </row>
    <row r="145">
      <c r="A145">
        <f>IF(Roster!A145="","",Roster!A145)</f>
        <v/>
      </c>
      <c r="B145">
        <f>IF($A145="","",Roster!B145)</f>
        <v/>
      </c>
      <c r="C145">
        <f>IF($A145="","",Roster!C145)</f>
        <v/>
      </c>
      <c r="D145">
        <f>IF($A145="","",IFERROR(SUMIFS(Imported!$D$2:$D$151,Imported!$B$2:$B$151,$B145&amp;"",Imported!$C$2:$C$151,$C145&amp;""),0))</f>
        <v/>
      </c>
      <c r="E145">
        <f>IF($A145="","",IFERROR(SUMIFS(Imported!$E$2:$E$151,Imported!$B$2:$B$151,$B145&amp;"",Imported!$C$2:$C$151,$C145&amp;""),0))</f>
        <v/>
      </c>
      <c r="F145" s="16">
        <f>IF($A145="","",IFERROR(SUMIFS(Imported!$F$2:$F$151,Imported!$B$2:$B$151,$B145&amp;"",Imported!$C$2:$C$151,$C145&amp;""),0))</f>
        <v/>
      </c>
      <c r="G145">
        <f>IF($A145="","",IFERROR(SUMIFS(Imported!$G$2:$G$151,Imported!$B$2:$B$151,$B145&amp;"",Imported!$C$2:$C$151,$C145&amp;""),0))</f>
        <v/>
      </c>
      <c r="H145">
        <f>IF($A145="","",IFERROR(SUMIFS(Imported!$H$2:$H$151,Imported!$B$2:$B$151,$B145&amp;"",Imported!$C$2:$C$151,$C145&amp;""),0))</f>
        <v/>
      </c>
    </row>
    <row r="146">
      <c r="A146">
        <f>IF(Roster!A146="","",Roster!A146)</f>
        <v/>
      </c>
      <c r="B146">
        <f>IF($A146="","",Roster!B146)</f>
        <v/>
      </c>
      <c r="C146">
        <f>IF($A146="","",Roster!C146)</f>
        <v/>
      </c>
      <c r="D146">
        <f>IF($A146="","",IFERROR(SUMIFS(Imported!$D$2:$D$151,Imported!$B$2:$B$151,$B146&amp;"",Imported!$C$2:$C$151,$C146&amp;""),0))</f>
        <v/>
      </c>
      <c r="E146">
        <f>IF($A146="","",IFERROR(SUMIFS(Imported!$E$2:$E$151,Imported!$B$2:$B$151,$B146&amp;"",Imported!$C$2:$C$151,$C146&amp;""),0))</f>
        <v/>
      </c>
      <c r="F146" s="16">
        <f>IF($A146="","",IFERROR(SUMIFS(Imported!$F$2:$F$151,Imported!$B$2:$B$151,$B146&amp;"",Imported!$C$2:$C$151,$C146&amp;""),0))</f>
        <v/>
      </c>
      <c r="G146">
        <f>IF($A146="","",IFERROR(SUMIFS(Imported!$G$2:$G$151,Imported!$B$2:$B$151,$B146&amp;"",Imported!$C$2:$C$151,$C146&amp;""),0))</f>
        <v/>
      </c>
      <c r="H146">
        <f>IF($A146="","",IFERROR(SUMIFS(Imported!$H$2:$H$151,Imported!$B$2:$B$151,$B146&amp;"",Imported!$C$2:$C$151,$C146&amp;""),0))</f>
        <v/>
      </c>
    </row>
    <row r="147">
      <c r="A147">
        <f>IF(Roster!A147="","",Roster!A147)</f>
        <v/>
      </c>
      <c r="B147">
        <f>IF($A147="","",Roster!B147)</f>
        <v/>
      </c>
      <c r="C147">
        <f>IF($A147="","",Roster!C147)</f>
        <v/>
      </c>
      <c r="D147">
        <f>IF($A147="","",IFERROR(SUMIFS(Imported!$D$2:$D$151,Imported!$B$2:$B$151,$B147&amp;"",Imported!$C$2:$C$151,$C147&amp;""),0))</f>
        <v/>
      </c>
      <c r="E147">
        <f>IF($A147="","",IFERROR(SUMIFS(Imported!$E$2:$E$151,Imported!$B$2:$B$151,$B147&amp;"",Imported!$C$2:$C$151,$C147&amp;""),0))</f>
        <v/>
      </c>
      <c r="F147" s="16">
        <f>IF($A147="","",IFERROR(SUMIFS(Imported!$F$2:$F$151,Imported!$B$2:$B$151,$B147&amp;"",Imported!$C$2:$C$151,$C147&amp;""),0))</f>
        <v/>
      </c>
      <c r="G147">
        <f>IF($A147="","",IFERROR(SUMIFS(Imported!$G$2:$G$151,Imported!$B$2:$B$151,$B147&amp;"",Imported!$C$2:$C$151,$C147&amp;""),0))</f>
        <v/>
      </c>
      <c r="H147">
        <f>IF($A147="","",IFERROR(SUMIFS(Imported!$H$2:$H$151,Imported!$B$2:$B$151,$B147&amp;"",Imported!$C$2:$C$151,$C147&amp;""),0))</f>
        <v/>
      </c>
    </row>
    <row r="148">
      <c r="A148">
        <f>IF(Roster!A148="","",Roster!A148)</f>
        <v/>
      </c>
      <c r="B148">
        <f>IF($A148="","",Roster!B148)</f>
        <v/>
      </c>
      <c r="C148">
        <f>IF($A148="","",Roster!C148)</f>
        <v/>
      </c>
      <c r="D148">
        <f>IF($A148="","",IFERROR(SUMIFS(Imported!$D$2:$D$151,Imported!$B$2:$B$151,$B148&amp;"",Imported!$C$2:$C$151,$C148&amp;""),0))</f>
        <v/>
      </c>
      <c r="E148">
        <f>IF($A148="","",IFERROR(SUMIFS(Imported!$E$2:$E$151,Imported!$B$2:$B$151,$B148&amp;"",Imported!$C$2:$C$151,$C148&amp;""),0))</f>
        <v/>
      </c>
      <c r="F148" s="16">
        <f>IF($A148="","",IFERROR(SUMIFS(Imported!$F$2:$F$151,Imported!$B$2:$B$151,$B148&amp;"",Imported!$C$2:$C$151,$C148&amp;""),0))</f>
        <v/>
      </c>
      <c r="G148">
        <f>IF($A148="","",IFERROR(SUMIFS(Imported!$G$2:$G$151,Imported!$B$2:$B$151,$B148&amp;"",Imported!$C$2:$C$151,$C148&amp;""),0))</f>
        <v/>
      </c>
      <c r="H148">
        <f>IF($A148="","",IFERROR(SUMIFS(Imported!$H$2:$H$151,Imported!$B$2:$B$151,$B148&amp;"",Imported!$C$2:$C$151,$C148&amp;""),0))</f>
        <v/>
      </c>
    </row>
    <row r="149">
      <c r="A149">
        <f>IF(Roster!A149="","",Roster!A149)</f>
        <v/>
      </c>
      <c r="B149">
        <f>IF($A149="","",Roster!B149)</f>
        <v/>
      </c>
      <c r="C149">
        <f>IF($A149="","",Roster!C149)</f>
        <v/>
      </c>
      <c r="D149">
        <f>IF($A149="","",IFERROR(SUMIFS(Imported!$D$2:$D$151,Imported!$B$2:$B$151,$B149&amp;"",Imported!$C$2:$C$151,$C149&amp;""),0))</f>
        <v/>
      </c>
      <c r="E149">
        <f>IF($A149="","",IFERROR(SUMIFS(Imported!$E$2:$E$151,Imported!$B$2:$B$151,$B149&amp;"",Imported!$C$2:$C$151,$C149&amp;""),0))</f>
        <v/>
      </c>
      <c r="F149" s="16">
        <f>IF($A149="","",IFERROR(SUMIFS(Imported!$F$2:$F$151,Imported!$B$2:$B$151,$B149&amp;"",Imported!$C$2:$C$151,$C149&amp;""),0))</f>
        <v/>
      </c>
      <c r="G149">
        <f>IF($A149="","",IFERROR(SUMIFS(Imported!$G$2:$G$151,Imported!$B$2:$B$151,$B149&amp;"",Imported!$C$2:$C$151,$C149&amp;""),0))</f>
        <v/>
      </c>
      <c r="H149">
        <f>IF($A149="","",IFERROR(SUMIFS(Imported!$H$2:$H$151,Imported!$B$2:$B$151,$B149&amp;"",Imported!$C$2:$C$151,$C149&amp;""),0))</f>
        <v/>
      </c>
    </row>
    <row r="150">
      <c r="A150">
        <f>IF(Roster!A150="","",Roster!A150)</f>
        <v/>
      </c>
      <c r="B150">
        <f>IF($A150="","",Roster!B150)</f>
        <v/>
      </c>
      <c r="C150">
        <f>IF($A150="","",Roster!C150)</f>
        <v/>
      </c>
      <c r="D150">
        <f>IF($A150="","",IFERROR(SUMIFS(Imported!$D$2:$D$151,Imported!$B$2:$B$151,$B150&amp;"",Imported!$C$2:$C$151,$C150&amp;""),0))</f>
        <v/>
      </c>
      <c r="E150">
        <f>IF($A150="","",IFERROR(SUMIFS(Imported!$E$2:$E$151,Imported!$B$2:$B$151,$B150&amp;"",Imported!$C$2:$C$151,$C150&amp;""),0))</f>
        <v/>
      </c>
      <c r="F150" s="16">
        <f>IF($A150="","",IFERROR(SUMIFS(Imported!$F$2:$F$151,Imported!$B$2:$B$151,$B150&amp;"",Imported!$C$2:$C$151,$C150&amp;""),0))</f>
        <v/>
      </c>
      <c r="G150">
        <f>IF($A150="","",IFERROR(SUMIFS(Imported!$G$2:$G$151,Imported!$B$2:$B$151,$B150&amp;"",Imported!$C$2:$C$151,$C150&amp;""),0))</f>
        <v/>
      </c>
      <c r="H150">
        <f>IF($A150="","",IFERROR(SUMIFS(Imported!$H$2:$H$151,Imported!$B$2:$B$151,$B150&amp;"",Imported!$C$2:$C$151,$C150&amp;""),0))</f>
        <v/>
      </c>
    </row>
    <row r="151">
      <c r="A151">
        <f>IF(Roster!A151="","",Roster!A151)</f>
        <v/>
      </c>
      <c r="B151">
        <f>IF($A151="","",Roster!B151)</f>
        <v/>
      </c>
      <c r="C151">
        <f>IF($A151="","",Roster!C151)</f>
        <v/>
      </c>
      <c r="D151">
        <f>IF($A151="","",IFERROR(SUMIFS(Imported!$D$2:$D$151,Imported!$B$2:$B$151,$B151&amp;"",Imported!$C$2:$C$151,$C151&amp;""),0))</f>
        <v/>
      </c>
      <c r="E151">
        <f>IF($A151="","",IFERROR(SUMIFS(Imported!$E$2:$E$151,Imported!$B$2:$B$151,$B151&amp;"",Imported!$C$2:$C$151,$C151&amp;""),0))</f>
        <v/>
      </c>
      <c r="F151" s="16">
        <f>IF($A151="","",IFERROR(SUMIFS(Imported!$F$2:$F$151,Imported!$B$2:$B$151,$B151&amp;"",Imported!$C$2:$C$151,$C151&amp;""),0))</f>
        <v/>
      </c>
      <c r="G151">
        <f>IF($A151="","",IFERROR(SUMIFS(Imported!$G$2:$G$151,Imported!$B$2:$B$151,$B151&amp;"",Imported!$C$2:$C$151,$C151&amp;""),0))</f>
        <v/>
      </c>
      <c r="H151">
        <f>IF($A151="","",IFERROR(SUMIFS(Imported!$H$2:$H$151,Imported!$B$2:$B$151,$B151&amp;"",Imported!$C$2:$C$151,$C151&amp;""),0))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2026-10-07T19:31:27Z</dcterms:created>
  <dcterms:modified xsi:type="dcterms:W3CDTF">2026-10-07T19:31:27Z</dcterms:modified>
</cp:coreProperties>
</file>