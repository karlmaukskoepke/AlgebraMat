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tudents" sheetId="2" state="visible" r:id="rId2"/>
    <sheet name="Progress" sheetId="3" state="visible" r:id="rId3"/>
    <sheet name="Log" sheetId="4" state="visible" r:id="rId4"/>
    <sheet name="Fluency" sheetId="5" state="visible" r:id="rId5"/>
    <sheet name="Summary" sheetId="6" state="visible" r:id="rId6"/>
    <sheet name="Sli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vertical="center" wrapText="1"/>
    </xf>
    <xf numFmtId="0" fontId="2" fillId="0" borderId="0" pivotButton="0" quotePrefix="0" xfId="0"/>
    <xf numFmtId="9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The Mat: class sheet</t>
        </is>
      </c>
    </row>
    <row r="2">
      <c r="A2" s="2" t="inlineStr">
        <is>
          <t>This sheet fills itself. Students sign in on The Mat with a period and a student number you give them (no names), and their levels, problems and fluency scores arrive here.</t>
        </is>
      </c>
    </row>
    <row r="3">
      <c r="A3" s="2" t="inlineStr"/>
    </row>
    <row r="4">
      <c r="A4" s="3" t="inlineStr">
        <is>
          <t>Set up (once, about 10 minutes): see SETUP.md in the project, "teacher" folder. In short:</t>
        </is>
      </c>
    </row>
    <row r="5">
      <c r="A5" s="2" t="inlineStr">
        <is>
          <t>1. Upload this file to Google Drive and open it with Google Sheets.</t>
        </is>
      </c>
    </row>
    <row r="6">
      <c r="A6" s="2" t="inlineStr">
        <is>
          <t>2. Extensions &gt; Apps Script: paste the contents of Code.gs, save.</t>
        </is>
      </c>
    </row>
    <row r="7">
      <c r="A7" s="2" t="inlineStr">
        <is>
          <t>3. Deploy &gt; New deployment &gt; Web app: Execute as "Me", Who has access "Anyone". Copy the web app URL.</t>
        </is>
      </c>
    </row>
    <row r="8">
      <c r="A8" s="2" t="inlineStr">
        <is>
          <t>4. Give students this link:  https://karlmaukskoepke.github.io/AlgebraMat/?class=&lt;the web app URL&gt;</t>
        </is>
      </c>
    </row>
    <row r="9">
      <c r="A9" s="2" t="inlineStr">
        <is>
          <t>5. Hand each student a period and a number. On The Mat they tap Sign in and type them.</t>
        </is>
      </c>
    </row>
    <row r="10">
      <c r="A10" s="2" t="inlineStr"/>
    </row>
    <row r="11">
      <c r="A11" s="3" t="inlineStr">
        <is>
          <t>The tabs</t>
        </is>
      </c>
    </row>
    <row r="12">
      <c r="A12" s="2" t="inlineStr">
        <is>
          <t>Students: everyone who has signed in (period, number, first and last time).</t>
        </is>
      </c>
    </row>
    <row r="13">
      <c r="A13" s="2" t="inlineStr">
        <is>
          <t>Progress: one row per student, one column per level (TRUE = finished). "-open" columns are levels the diagnostic opened.</t>
        </is>
      </c>
    </row>
    <row r="14">
      <c r="A14" s="2" t="inlineStr">
        <is>
          <t>Log: every problem a student did: what they typed, which slip it looked like, which supports showed, and whether it was clean.</t>
        </is>
      </c>
    </row>
    <row r="15">
      <c r="A15" s="2" t="inlineStr">
        <is>
          <t>Fluency: each 60-second challenge run, with its score.</t>
        </is>
      </c>
    </row>
    <row r="16">
      <c r="A16" s="2" t="inlineStr">
        <is>
          <t>Summary: formulas over the tabs above: levels done, problems tried, % clean, stuck presses, fluency runs, last active.</t>
        </is>
      </c>
    </row>
    <row r="17">
      <c r="A17" s="2" t="inlineStr">
        <is>
          <t>Slips: how many times each kind of wrong answer showed up, per student (add a column: type any slip name in row 1 and copy the formula across).</t>
        </is>
      </c>
    </row>
    <row r="18">
      <c r="A18" s="2" t="inlineStr"/>
    </row>
    <row r="19">
      <c r="A19" s="2" t="inlineStr">
        <is>
          <t>Do not type in Students, Progress, Log or Fluency: the script writes there. Yellow cells below are the ones meant for you.</t>
        </is>
      </c>
    </row>
    <row r="21">
      <c r="A21" s="4" t="inlineStr">
        <is>
          <t>Your notes (optional):</t>
        </is>
      </c>
    </row>
    <row r="22">
      <c r="A22" s="5" t="inlineStr">
        <is>
          <t>Class link given to students: (paste here so you can find it)</t>
        </is>
      </c>
    </row>
    <row r="23">
      <c r="A23" s="6" t="inlineStr">
        <is>
          <t>Example of a Log row: 3-12 | 2026-10-04T14:02:11Z | value | 1 | 2x + 6, x = 4 | 30 → no-parens; 14 → | substitute | 0 | 0 | 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22" customWidth="1" min="5" max="5"/>
  </cols>
  <sheetData>
    <row r="1">
      <c r="A1" s="7" t="inlineStr">
        <is>
          <t>StudentID</t>
        </is>
      </c>
      <c r="B1" s="7" t="inlineStr">
        <is>
          <t>Period</t>
        </is>
      </c>
      <c r="C1" s="7" t="inlineStr">
        <is>
          <t>Number</t>
        </is>
      </c>
      <c r="D1" s="7" t="inlineStr">
        <is>
          <t>FirstSeen</t>
        </is>
      </c>
      <c r="E1" s="7" t="inlineStr">
        <is>
          <t>LastSync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7" t="inlineStr">
        <is>
          <t>StudentID</t>
        </is>
      </c>
      <c r="B1" s="7" t="inlineStr">
        <is>
          <t>Period</t>
        </is>
      </c>
      <c r="C1" s="7" t="inlineStr">
        <is>
          <t>Number</t>
        </is>
      </c>
      <c r="D1" s="7" t="inlineStr">
        <is>
          <t>LastSync</t>
        </is>
      </c>
      <c r="E1" s="7" t="inlineStr">
        <is>
          <t>combineit-1</t>
        </is>
      </c>
      <c r="F1" s="7" t="inlineStr">
        <is>
          <t>combineit-2</t>
        </is>
      </c>
      <c r="G1" s="7" t="inlineStr">
        <is>
          <t>combineit-3</t>
        </is>
      </c>
      <c r="H1" s="7" t="inlineStr">
        <is>
          <t>combineit-4</t>
        </is>
      </c>
      <c r="I1" s="7" t="inlineStr">
        <is>
          <t>combineit-5</t>
        </is>
      </c>
      <c r="J1" s="7" t="inlineStr">
        <is>
          <t>flipit-1</t>
        </is>
      </c>
      <c r="K1" s="7" t="inlineStr">
        <is>
          <t>flipit-2</t>
        </is>
      </c>
      <c r="L1" s="7" t="inlineStr">
        <is>
          <t>flipit-3</t>
        </is>
      </c>
      <c r="M1" s="7" t="inlineStr">
        <is>
          <t>flipit-4</t>
        </is>
      </c>
      <c r="N1" s="7" t="inlineStr">
        <is>
          <t>flipit-5</t>
        </is>
      </c>
      <c r="O1" s="7" t="inlineStr">
        <is>
          <t>lasso-1</t>
        </is>
      </c>
      <c r="P1" s="7" t="inlineStr">
        <is>
          <t>lasso-2</t>
        </is>
      </c>
      <c r="Q1" s="7" t="inlineStr">
        <is>
          <t>lasso-3</t>
        </is>
      </c>
      <c r="R1" s="7" t="inlineStr">
        <is>
          <t>lasso-4</t>
        </is>
      </c>
      <c r="S1" s="7" t="inlineStr">
        <is>
          <t>lasso-5</t>
        </is>
      </c>
      <c r="T1" s="7" t="inlineStr">
        <is>
          <t>lasso-6</t>
        </is>
      </c>
      <c r="U1" s="7" t="inlineStr">
        <is>
          <t>lasso-7</t>
        </is>
      </c>
      <c r="V1" s="7" t="inlineStr">
        <is>
          <t>boxes-1</t>
        </is>
      </c>
      <c r="W1" s="7" t="inlineStr">
        <is>
          <t>boxes-2</t>
        </is>
      </c>
      <c r="X1" s="7" t="inlineStr">
        <is>
          <t>boxes-3</t>
        </is>
      </c>
      <c r="Y1" s="7" t="inlineStr">
        <is>
          <t>boxes-4</t>
        </is>
      </c>
      <c r="Z1" s="7" t="inlineStr">
        <is>
          <t>boxes-5</t>
        </is>
      </c>
      <c r="AA1" s="7" t="inlineStr">
        <is>
          <t>boxes-6</t>
        </is>
      </c>
      <c r="AB1" s="7" t="inlineStr">
        <is>
          <t>groups-of-terms-1</t>
        </is>
      </c>
      <c r="AC1" s="7" t="inlineStr">
        <is>
          <t>groups-of-terms-2</t>
        </is>
      </c>
      <c r="AD1" s="7" t="inlineStr">
        <is>
          <t>groups-of-terms-3</t>
        </is>
      </c>
      <c r="AE1" s="7" t="inlineStr">
        <is>
          <t>groups-of-terms-4</t>
        </is>
      </c>
      <c r="AF1" s="7" t="inlineStr">
        <is>
          <t>groups-of-terms-5</t>
        </is>
      </c>
      <c r="AG1" s="7" t="inlineStr">
        <is>
          <t>groups-of-terms-6</t>
        </is>
      </c>
      <c r="AH1" s="7" t="inlineStr">
        <is>
          <t>groups-of-terms-7</t>
        </is>
      </c>
      <c r="AI1" s="7" t="inlineStr">
        <is>
          <t>groups-of-terms-8</t>
        </is>
      </c>
      <c r="AJ1" s="7" t="inlineStr">
        <is>
          <t>distribute-combine-1</t>
        </is>
      </c>
      <c r="AK1" s="7" t="inlineStr">
        <is>
          <t>distribute-combine-2</t>
        </is>
      </c>
      <c r="AL1" s="7" t="inlineStr">
        <is>
          <t>distribute-combine-3</t>
        </is>
      </c>
      <c r="AM1" s="7" t="inlineStr">
        <is>
          <t>distribute-combine-4</t>
        </is>
      </c>
      <c r="AN1" s="7" t="inlineStr">
        <is>
          <t>distribute-combine-5</t>
        </is>
      </c>
      <c r="AO1" s="7" t="inlineStr">
        <is>
          <t>value-1</t>
        </is>
      </c>
      <c r="AP1" s="7" t="inlineStr">
        <is>
          <t>value-2</t>
        </is>
      </c>
      <c r="AQ1" s="7" t="inlineStr">
        <is>
          <t>value-3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28" customWidth="1" min="5" max="5"/>
    <col width="40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7" t="inlineStr">
        <is>
          <t>StudentID</t>
        </is>
      </c>
      <c r="B1" s="7" t="inlineStr">
        <is>
          <t>Time</t>
        </is>
      </c>
      <c r="C1" s="7" t="inlineStr">
        <is>
          <t>Pack</t>
        </is>
      </c>
      <c r="D1" s="7" t="inlineStr">
        <is>
          <t>Level</t>
        </is>
      </c>
      <c r="E1" s="7" t="inlineStr">
        <is>
          <t>Problem</t>
        </is>
      </c>
      <c r="F1" s="7" t="inlineStr">
        <is>
          <t>Answers</t>
        </is>
      </c>
      <c r="G1" s="7" t="inlineStr">
        <is>
          <t>Supports</t>
        </is>
      </c>
      <c r="H1" s="7" t="inlineStr">
        <is>
          <t>Stuck</t>
        </is>
      </c>
      <c r="I1" s="7" t="inlineStr">
        <is>
          <t>Taught</t>
        </is>
      </c>
      <c r="J1" s="7" t="inlineStr">
        <is>
          <t>Clean</t>
        </is>
      </c>
      <c r="K1" s="7" t="inlineStr">
        <is>
          <t>Key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7" t="inlineStr">
        <is>
          <t>StudentID</t>
        </is>
      </c>
      <c r="B1" s="7" t="inlineStr">
        <is>
          <t>Time</t>
        </is>
      </c>
      <c r="C1" s="7" t="inlineStr">
        <is>
          <t>Challenge</t>
        </is>
      </c>
      <c r="D1" s="7" t="inlineStr">
        <is>
          <t>Score</t>
        </is>
      </c>
      <c r="E1" s="7" t="inlineStr">
        <is>
          <t>Tier</t>
        </is>
      </c>
      <c r="F1" s="7" t="inlineStr">
        <is>
          <t>Key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</cols>
  <sheetData>
    <row r="1">
      <c r="A1" s="7" t="inlineStr">
        <is>
          <t>StudentID</t>
        </is>
      </c>
      <c r="B1" s="7" t="inlineStr">
        <is>
          <t>Period</t>
        </is>
      </c>
      <c r="C1" s="7" t="inlineStr">
        <is>
          <t>Number</t>
        </is>
      </c>
      <c r="D1" s="7" t="inlineStr">
        <is>
          <t>Levels done</t>
        </is>
      </c>
      <c r="E1" s="7" t="inlineStr">
        <is>
          <t>Problems tried</t>
        </is>
      </c>
      <c r="F1" s="7" t="inlineStr">
        <is>
          <t>Clean %</t>
        </is>
      </c>
      <c r="G1" s="7" t="inlineStr">
        <is>
          <t>Stuck presses</t>
        </is>
      </c>
      <c r="H1" s="7" t="inlineStr">
        <is>
          <t>Fluency runs</t>
        </is>
      </c>
      <c r="I1" s="7" t="inlineStr">
        <is>
          <t>Last active</t>
        </is>
      </c>
    </row>
    <row r="2">
      <c r="A2" s="8">
        <f>IF(Students!A2="","",Students!A2)</f>
        <v/>
      </c>
      <c r="B2" s="8">
        <f>IF($A2="","",Students!B2)</f>
        <v/>
      </c>
      <c r="C2" s="8">
        <f>IF($A2="","",Students!C2)</f>
        <v/>
      </c>
      <c r="D2" s="8">
        <f>IF($A2="","",IFERROR(COUNTIF(INDEX(Progress!$E$2:$BK$200,MATCH($A2,Progress!$A$2:$A$200,0),0),TRUE),0))</f>
        <v/>
      </c>
      <c r="E2" s="8">
        <f>IF($A2="","",COUNTIF(Log!$A$2:$A$5000,$A2))</f>
        <v/>
      </c>
      <c r="F2" s="9">
        <f>IF($A2="","",IF(E2=0,"",COUNTIFS(Log!$A$2:$A$5000,$A2,Log!$J$2:$J$5000,TRUE)/E2))</f>
        <v/>
      </c>
      <c r="G2" s="8">
        <f>IF($A2="","",SUMIF(Log!$A$2:$A$5000,$A2,Log!$H$2:$H$5000))</f>
        <v/>
      </c>
      <c r="H2" s="8">
        <f>IF($A2="","",COUNTIF(Fluency!$A$2:$A$5000,$A2))</f>
        <v/>
      </c>
      <c r="I2" s="8">
        <f>IF($A2="","",Students!E2)</f>
        <v/>
      </c>
    </row>
    <row r="3">
      <c r="A3" s="8">
        <f>IF(Students!A3="","",Students!A3)</f>
        <v/>
      </c>
      <c r="B3" s="8">
        <f>IF($A3="","",Students!B3)</f>
        <v/>
      </c>
      <c r="C3" s="8">
        <f>IF($A3="","",Students!C3)</f>
        <v/>
      </c>
      <c r="D3" s="8">
        <f>IF($A3="","",IFERROR(COUNTIF(INDEX(Progress!$E$2:$BK$200,MATCH($A3,Progress!$A$2:$A$200,0),0),TRUE),0))</f>
        <v/>
      </c>
      <c r="E3" s="8">
        <f>IF($A3="","",COUNTIF(Log!$A$2:$A$5000,$A3))</f>
        <v/>
      </c>
      <c r="F3" s="9">
        <f>IF($A3="","",IF(E3=0,"",COUNTIFS(Log!$A$2:$A$5000,$A3,Log!$J$2:$J$5000,TRUE)/E3))</f>
        <v/>
      </c>
      <c r="G3" s="8">
        <f>IF($A3="","",SUMIF(Log!$A$2:$A$5000,$A3,Log!$H$2:$H$5000))</f>
        <v/>
      </c>
      <c r="H3" s="8">
        <f>IF($A3="","",COUNTIF(Fluency!$A$2:$A$5000,$A3))</f>
        <v/>
      </c>
      <c r="I3" s="8">
        <f>IF($A3="","",Students!E3)</f>
        <v/>
      </c>
    </row>
    <row r="4">
      <c r="A4" s="8">
        <f>IF(Students!A4="","",Students!A4)</f>
        <v/>
      </c>
      <c r="B4" s="8">
        <f>IF($A4="","",Students!B4)</f>
        <v/>
      </c>
      <c r="C4" s="8">
        <f>IF($A4="","",Students!C4)</f>
        <v/>
      </c>
      <c r="D4" s="8">
        <f>IF($A4="","",IFERROR(COUNTIF(INDEX(Progress!$E$2:$BK$200,MATCH($A4,Progress!$A$2:$A$200,0),0),TRUE),0))</f>
        <v/>
      </c>
      <c r="E4" s="8">
        <f>IF($A4="","",COUNTIF(Log!$A$2:$A$5000,$A4))</f>
        <v/>
      </c>
      <c r="F4" s="9">
        <f>IF($A4="","",IF(E4=0,"",COUNTIFS(Log!$A$2:$A$5000,$A4,Log!$J$2:$J$5000,TRUE)/E4))</f>
        <v/>
      </c>
      <c r="G4" s="8">
        <f>IF($A4="","",SUMIF(Log!$A$2:$A$5000,$A4,Log!$H$2:$H$5000))</f>
        <v/>
      </c>
      <c r="H4" s="8">
        <f>IF($A4="","",COUNTIF(Fluency!$A$2:$A$5000,$A4))</f>
        <v/>
      </c>
      <c r="I4" s="8">
        <f>IF($A4="","",Students!E4)</f>
        <v/>
      </c>
    </row>
    <row r="5">
      <c r="A5" s="8">
        <f>IF(Students!A5="","",Students!A5)</f>
        <v/>
      </c>
      <c r="B5" s="8">
        <f>IF($A5="","",Students!B5)</f>
        <v/>
      </c>
      <c r="C5" s="8">
        <f>IF($A5="","",Students!C5)</f>
        <v/>
      </c>
      <c r="D5" s="8">
        <f>IF($A5="","",IFERROR(COUNTIF(INDEX(Progress!$E$2:$BK$200,MATCH($A5,Progress!$A$2:$A$200,0),0),TRUE),0))</f>
        <v/>
      </c>
      <c r="E5" s="8">
        <f>IF($A5="","",COUNTIF(Log!$A$2:$A$5000,$A5))</f>
        <v/>
      </c>
      <c r="F5" s="9">
        <f>IF($A5="","",IF(E5=0,"",COUNTIFS(Log!$A$2:$A$5000,$A5,Log!$J$2:$J$5000,TRUE)/E5))</f>
        <v/>
      </c>
      <c r="G5" s="8">
        <f>IF($A5="","",SUMIF(Log!$A$2:$A$5000,$A5,Log!$H$2:$H$5000))</f>
        <v/>
      </c>
      <c r="H5" s="8">
        <f>IF($A5="","",COUNTIF(Fluency!$A$2:$A$5000,$A5))</f>
        <v/>
      </c>
      <c r="I5" s="8">
        <f>IF($A5="","",Students!E5)</f>
        <v/>
      </c>
    </row>
    <row r="6">
      <c r="A6" s="8">
        <f>IF(Students!A6="","",Students!A6)</f>
        <v/>
      </c>
      <c r="B6" s="8">
        <f>IF($A6="","",Students!B6)</f>
        <v/>
      </c>
      <c r="C6" s="8">
        <f>IF($A6="","",Students!C6)</f>
        <v/>
      </c>
      <c r="D6" s="8">
        <f>IF($A6="","",IFERROR(COUNTIF(INDEX(Progress!$E$2:$BK$200,MATCH($A6,Progress!$A$2:$A$200,0),0),TRUE),0))</f>
        <v/>
      </c>
      <c r="E6" s="8">
        <f>IF($A6="","",COUNTIF(Log!$A$2:$A$5000,$A6))</f>
        <v/>
      </c>
      <c r="F6" s="9">
        <f>IF($A6="","",IF(E6=0,"",COUNTIFS(Log!$A$2:$A$5000,$A6,Log!$J$2:$J$5000,TRUE)/E6))</f>
        <v/>
      </c>
      <c r="G6" s="8">
        <f>IF($A6="","",SUMIF(Log!$A$2:$A$5000,$A6,Log!$H$2:$H$5000))</f>
        <v/>
      </c>
      <c r="H6" s="8">
        <f>IF($A6="","",COUNTIF(Fluency!$A$2:$A$5000,$A6))</f>
        <v/>
      </c>
      <c r="I6" s="8">
        <f>IF($A6="","",Students!E6)</f>
        <v/>
      </c>
    </row>
    <row r="7">
      <c r="A7" s="8">
        <f>IF(Students!A7="","",Students!A7)</f>
        <v/>
      </c>
      <c r="B7" s="8">
        <f>IF($A7="","",Students!B7)</f>
        <v/>
      </c>
      <c r="C7" s="8">
        <f>IF($A7="","",Students!C7)</f>
        <v/>
      </c>
      <c r="D7" s="8">
        <f>IF($A7="","",IFERROR(COUNTIF(INDEX(Progress!$E$2:$BK$200,MATCH($A7,Progress!$A$2:$A$200,0),0),TRUE),0))</f>
        <v/>
      </c>
      <c r="E7" s="8">
        <f>IF($A7="","",COUNTIF(Log!$A$2:$A$5000,$A7))</f>
        <v/>
      </c>
      <c r="F7" s="9">
        <f>IF($A7="","",IF(E7=0,"",COUNTIFS(Log!$A$2:$A$5000,$A7,Log!$J$2:$J$5000,TRUE)/E7))</f>
        <v/>
      </c>
      <c r="G7" s="8">
        <f>IF($A7="","",SUMIF(Log!$A$2:$A$5000,$A7,Log!$H$2:$H$5000))</f>
        <v/>
      </c>
      <c r="H7" s="8">
        <f>IF($A7="","",COUNTIF(Fluency!$A$2:$A$5000,$A7))</f>
        <v/>
      </c>
      <c r="I7" s="8">
        <f>IF($A7="","",Students!E7)</f>
        <v/>
      </c>
    </row>
    <row r="8">
      <c r="A8" s="8">
        <f>IF(Students!A8="","",Students!A8)</f>
        <v/>
      </c>
      <c r="B8" s="8">
        <f>IF($A8="","",Students!B8)</f>
        <v/>
      </c>
      <c r="C8" s="8">
        <f>IF($A8="","",Students!C8)</f>
        <v/>
      </c>
      <c r="D8" s="8">
        <f>IF($A8="","",IFERROR(COUNTIF(INDEX(Progress!$E$2:$BK$200,MATCH($A8,Progress!$A$2:$A$200,0),0),TRUE),0))</f>
        <v/>
      </c>
      <c r="E8" s="8">
        <f>IF($A8="","",COUNTIF(Log!$A$2:$A$5000,$A8))</f>
        <v/>
      </c>
      <c r="F8" s="9">
        <f>IF($A8="","",IF(E8=0,"",COUNTIFS(Log!$A$2:$A$5000,$A8,Log!$J$2:$J$5000,TRUE)/E8))</f>
        <v/>
      </c>
      <c r="G8" s="8">
        <f>IF($A8="","",SUMIF(Log!$A$2:$A$5000,$A8,Log!$H$2:$H$5000))</f>
        <v/>
      </c>
      <c r="H8" s="8">
        <f>IF($A8="","",COUNTIF(Fluency!$A$2:$A$5000,$A8))</f>
        <v/>
      </c>
      <c r="I8" s="8">
        <f>IF($A8="","",Students!E8)</f>
        <v/>
      </c>
    </row>
    <row r="9">
      <c r="A9" s="8">
        <f>IF(Students!A9="","",Students!A9)</f>
        <v/>
      </c>
      <c r="B9" s="8">
        <f>IF($A9="","",Students!B9)</f>
        <v/>
      </c>
      <c r="C9" s="8">
        <f>IF($A9="","",Students!C9)</f>
        <v/>
      </c>
      <c r="D9" s="8">
        <f>IF($A9="","",IFERROR(COUNTIF(INDEX(Progress!$E$2:$BK$200,MATCH($A9,Progress!$A$2:$A$200,0),0),TRUE),0))</f>
        <v/>
      </c>
      <c r="E9" s="8">
        <f>IF($A9="","",COUNTIF(Log!$A$2:$A$5000,$A9))</f>
        <v/>
      </c>
      <c r="F9" s="9">
        <f>IF($A9="","",IF(E9=0,"",COUNTIFS(Log!$A$2:$A$5000,$A9,Log!$J$2:$J$5000,TRUE)/E9))</f>
        <v/>
      </c>
      <c r="G9" s="8">
        <f>IF($A9="","",SUMIF(Log!$A$2:$A$5000,$A9,Log!$H$2:$H$5000))</f>
        <v/>
      </c>
      <c r="H9" s="8">
        <f>IF($A9="","",COUNTIF(Fluency!$A$2:$A$5000,$A9))</f>
        <v/>
      </c>
      <c r="I9" s="8">
        <f>IF($A9="","",Students!E9)</f>
        <v/>
      </c>
    </row>
    <row r="10">
      <c r="A10" s="8">
        <f>IF(Students!A10="","",Students!A10)</f>
        <v/>
      </c>
      <c r="B10" s="8">
        <f>IF($A10="","",Students!B10)</f>
        <v/>
      </c>
      <c r="C10" s="8">
        <f>IF($A10="","",Students!C10)</f>
        <v/>
      </c>
      <c r="D10" s="8">
        <f>IF($A10="","",IFERROR(COUNTIF(INDEX(Progress!$E$2:$BK$200,MATCH($A10,Progress!$A$2:$A$200,0),0),TRUE),0))</f>
        <v/>
      </c>
      <c r="E10" s="8">
        <f>IF($A10="","",COUNTIF(Log!$A$2:$A$5000,$A10))</f>
        <v/>
      </c>
      <c r="F10" s="9">
        <f>IF($A10="","",IF(E10=0,"",COUNTIFS(Log!$A$2:$A$5000,$A10,Log!$J$2:$J$5000,TRUE)/E10))</f>
        <v/>
      </c>
      <c r="G10" s="8">
        <f>IF($A10="","",SUMIF(Log!$A$2:$A$5000,$A10,Log!$H$2:$H$5000))</f>
        <v/>
      </c>
      <c r="H10" s="8">
        <f>IF($A10="","",COUNTIF(Fluency!$A$2:$A$5000,$A10))</f>
        <v/>
      </c>
      <c r="I10" s="8">
        <f>IF($A10="","",Students!E10)</f>
        <v/>
      </c>
    </row>
    <row r="11">
      <c r="A11" s="8">
        <f>IF(Students!A11="","",Students!A11)</f>
        <v/>
      </c>
      <c r="B11" s="8">
        <f>IF($A11="","",Students!B11)</f>
        <v/>
      </c>
      <c r="C11" s="8">
        <f>IF($A11="","",Students!C11)</f>
        <v/>
      </c>
      <c r="D11" s="8">
        <f>IF($A11="","",IFERROR(COUNTIF(INDEX(Progress!$E$2:$BK$200,MATCH($A11,Progress!$A$2:$A$200,0),0),TRUE),0))</f>
        <v/>
      </c>
      <c r="E11" s="8">
        <f>IF($A11="","",COUNTIF(Log!$A$2:$A$5000,$A11))</f>
        <v/>
      </c>
      <c r="F11" s="9">
        <f>IF($A11="","",IF(E11=0,"",COUNTIFS(Log!$A$2:$A$5000,$A11,Log!$J$2:$J$5000,TRUE)/E11))</f>
        <v/>
      </c>
      <c r="G11" s="8">
        <f>IF($A11="","",SUMIF(Log!$A$2:$A$5000,$A11,Log!$H$2:$H$5000))</f>
        <v/>
      </c>
      <c r="H11" s="8">
        <f>IF($A11="","",COUNTIF(Fluency!$A$2:$A$5000,$A11))</f>
        <v/>
      </c>
      <c r="I11" s="8">
        <f>IF($A11="","",Students!E11)</f>
        <v/>
      </c>
    </row>
    <row r="12">
      <c r="A12" s="8">
        <f>IF(Students!A12="","",Students!A12)</f>
        <v/>
      </c>
      <c r="B12" s="8">
        <f>IF($A12="","",Students!B12)</f>
        <v/>
      </c>
      <c r="C12" s="8">
        <f>IF($A12="","",Students!C12)</f>
        <v/>
      </c>
      <c r="D12" s="8">
        <f>IF($A12="","",IFERROR(COUNTIF(INDEX(Progress!$E$2:$BK$200,MATCH($A12,Progress!$A$2:$A$200,0),0),TRUE),0))</f>
        <v/>
      </c>
      <c r="E12" s="8">
        <f>IF($A12="","",COUNTIF(Log!$A$2:$A$5000,$A12))</f>
        <v/>
      </c>
      <c r="F12" s="9">
        <f>IF($A12="","",IF(E12=0,"",COUNTIFS(Log!$A$2:$A$5000,$A12,Log!$J$2:$J$5000,TRUE)/E12))</f>
        <v/>
      </c>
      <c r="G12" s="8">
        <f>IF($A12="","",SUMIF(Log!$A$2:$A$5000,$A12,Log!$H$2:$H$5000))</f>
        <v/>
      </c>
      <c r="H12" s="8">
        <f>IF($A12="","",COUNTIF(Fluency!$A$2:$A$5000,$A12))</f>
        <v/>
      </c>
      <c r="I12" s="8">
        <f>IF($A12="","",Students!E12)</f>
        <v/>
      </c>
    </row>
    <row r="13">
      <c r="A13" s="8">
        <f>IF(Students!A13="","",Students!A13)</f>
        <v/>
      </c>
      <c r="B13" s="8">
        <f>IF($A13="","",Students!B13)</f>
        <v/>
      </c>
      <c r="C13" s="8">
        <f>IF($A13="","",Students!C13)</f>
        <v/>
      </c>
      <c r="D13" s="8">
        <f>IF($A13="","",IFERROR(COUNTIF(INDEX(Progress!$E$2:$BK$200,MATCH($A13,Progress!$A$2:$A$200,0),0),TRUE),0))</f>
        <v/>
      </c>
      <c r="E13" s="8">
        <f>IF($A13="","",COUNTIF(Log!$A$2:$A$5000,$A13))</f>
        <v/>
      </c>
      <c r="F13" s="9">
        <f>IF($A13="","",IF(E13=0,"",COUNTIFS(Log!$A$2:$A$5000,$A13,Log!$J$2:$J$5000,TRUE)/E13))</f>
        <v/>
      </c>
      <c r="G13" s="8">
        <f>IF($A13="","",SUMIF(Log!$A$2:$A$5000,$A13,Log!$H$2:$H$5000))</f>
        <v/>
      </c>
      <c r="H13" s="8">
        <f>IF($A13="","",COUNTIF(Fluency!$A$2:$A$5000,$A13))</f>
        <v/>
      </c>
      <c r="I13" s="8">
        <f>IF($A13="","",Students!E13)</f>
        <v/>
      </c>
    </row>
    <row r="14">
      <c r="A14" s="8">
        <f>IF(Students!A14="","",Students!A14)</f>
        <v/>
      </c>
      <c r="B14" s="8">
        <f>IF($A14="","",Students!B14)</f>
        <v/>
      </c>
      <c r="C14" s="8">
        <f>IF($A14="","",Students!C14)</f>
        <v/>
      </c>
      <c r="D14" s="8">
        <f>IF($A14="","",IFERROR(COUNTIF(INDEX(Progress!$E$2:$BK$200,MATCH($A14,Progress!$A$2:$A$200,0),0),TRUE),0))</f>
        <v/>
      </c>
      <c r="E14" s="8">
        <f>IF($A14="","",COUNTIF(Log!$A$2:$A$5000,$A14))</f>
        <v/>
      </c>
      <c r="F14" s="9">
        <f>IF($A14="","",IF(E14=0,"",COUNTIFS(Log!$A$2:$A$5000,$A14,Log!$J$2:$J$5000,TRUE)/E14))</f>
        <v/>
      </c>
      <c r="G14" s="8">
        <f>IF($A14="","",SUMIF(Log!$A$2:$A$5000,$A14,Log!$H$2:$H$5000))</f>
        <v/>
      </c>
      <c r="H14" s="8">
        <f>IF($A14="","",COUNTIF(Fluency!$A$2:$A$5000,$A14))</f>
        <v/>
      </c>
      <c r="I14" s="8">
        <f>IF($A14="","",Students!E14)</f>
        <v/>
      </c>
    </row>
    <row r="15">
      <c r="A15" s="8">
        <f>IF(Students!A15="","",Students!A15)</f>
        <v/>
      </c>
      <c r="B15" s="8">
        <f>IF($A15="","",Students!B15)</f>
        <v/>
      </c>
      <c r="C15" s="8">
        <f>IF($A15="","",Students!C15)</f>
        <v/>
      </c>
      <c r="D15" s="8">
        <f>IF($A15="","",IFERROR(COUNTIF(INDEX(Progress!$E$2:$BK$200,MATCH($A15,Progress!$A$2:$A$200,0),0),TRUE),0))</f>
        <v/>
      </c>
      <c r="E15" s="8">
        <f>IF($A15="","",COUNTIF(Log!$A$2:$A$5000,$A15))</f>
        <v/>
      </c>
      <c r="F15" s="9">
        <f>IF($A15="","",IF(E15=0,"",COUNTIFS(Log!$A$2:$A$5000,$A15,Log!$J$2:$J$5000,TRUE)/E15))</f>
        <v/>
      </c>
      <c r="G15" s="8">
        <f>IF($A15="","",SUMIF(Log!$A$2:$A$5000,$A15,Log!$H$2:$H$5000))</f>
        <v/>
      </c>
      <c r="H15" s="8">
        <f>IF($A15="","",COUNTIF(Fluency!$A$2:$A$5000,$A15))</f>
        <v/>
      </c>
      <c r="I15" s="8">
        <f>IF($A15="","",Students!E15)</f>
        <v/>
      </c>
    </row>
    <row r="16">
      <c r="A16" s="8">
        <f>IF(Students!A16="","",Students!A16)</f>
        <v/>
      </c>
      <c r="B16" s="8">
        <f>IF($A16="","",Students!B16)</f>
        <v/>
      </c>
      <c r="C16" s="8">
        <f>IF($A16="","",Students!C16)</f>
        <v/>
      </c>
      <c r="D16" s="8">
        <f>IF($A16="","",IFERROR(COUNTIF(INDEX(Progress!$E$2:$BK$200,MATCH($A16,Progress!$A$2:$A$200,0),0),TRUE),0))</f>
        <v/>
      </c>
      <c r="E16" s="8">
        <f>IF($A16="","",COUNTIF(Log!$A$2:$A$5000,$A16))</f>
        <v/>
      </c>
      <c r="F16" s="9">
        <f>IF($A16="","",IF(E16=0,"",COUNTIFS(Log!$A$2:$A$5000,$A16,Log!$J$2:$J$5000,TRUE)/E16))</f>
        <v/>
      </c>
      <c r="G16" s="8">
        <f>IF($A16="","",SUMIF(Log!$A$2:$A$5000,$A16,Log!$H$2:$H$5000))</f>
        <v/>
      </c>
      <c r="H16" s="8">
        <f>IF($A16="","",COUNTIF(Fluency!$A$2:$A$5000,$A16))</f>
        <v/>
      </c>
      <c r="I16" s="8">
        <f>IF($A16="","",Students!E16)</f>
        <v/>
      </c>
    </row>
    <row r="17">
      <c r="A17" s="8">
        <f>IF(Students!A17="","",Students!A17)</f>
        <v/>
      </c>
      <c r="B17" s="8">
        <f>IF($A17="","",Students!B17)</f>
        <v/>
      </c>
      <c r="C17" s="8">
        <f>IF($A17="","",Students!C17)</f>
        <v/>
      </c>
      <c r="D17" s="8">
        <f>IF($A17="","",IFERROR(COUNTIF(INDEX(Progress!$E$2:$BK$200,MATCH($A17,Progress!$A$2:$A$200,0),0),TRUE),0))</f>
        <v/>
      </c>
      <c r="E17" s="8">
        <f>IF($A17="","",COUNTIF(Log!$A$2:$A$5000,$A17))</f>
        <v/>
      </c>
      <c r="F17" s="9">
        <f>IF($A17="","",IF(E17=0,"",COUNTIFS(Log!$A$2:$A$5000,$A17,Log!$J$2:$J$5000,TRUE)/E17))</f>
        <v/>
      </c>
      <c r="G17" s="8">
        <f>IF($A17="","",SUMIF(Log!$A$2:$A$5000,$A17,Log!$H$2:$H$5000))</f>
        <v/>
      </c>
      <c r="H17" s="8">
        <f>IF($A17="","",COUNTIF(Fluency!$A$2:$A$5000,$A17))</f>
        <v/>
      </c>
      <c r="I17" s="8">
        <f>IF($A17="","",Students!E17)</f>
        <v/>
      </c>
    </row>
    <row r="18">
      <c r="A18" s="8">
        <f>IF(Students!A18="","",Students!A18)</f>
        <v/>
      </c>
      <c r="B18" s="8">
        <f>IF($A18="","",Students!B18)</f>
        <v/>
      </c>
      <c r="C18" s="8">
        <f>IF($A18="","",Students!C18)</f>
        <v/>
      </c>
      <c r="D18" s="8">
        <f>IF($A18="","",IFERROR(COUNTIF(INDEX(Progress!$E$2:$BK$200,MATCH($A18,Progress!$A$2:$A$200,0),0),TRUE),0))</f>
        <v/>
      </c>
      <c r="E18" s="8">
        <f>IF($A18="","",COUNTIF(Log!$A$2:$A$5000,$A18))</f>
        <v/>
      </c>
      <c r="F18" s="9">
        <f>IF($A18="","",IF(E18=0,"",COUNTIFS(Log!$A$2:$A$5000,$A18,Log!$J$2:$J$5000,TRUE)/E18))</f>
        <v/>
      </c>
      <c r="G18" s="8">
        <f>IF($A18="","",SUMIF(Log!$A$2:$A$5000,$A18,Log!$H$2:$H$5000))</f>
        <v/>
      </c>
      <c r="H18" s="8">
        <f>IF($A18="","",COUNTIF(Fluency!$A$2:$A$5000,$A18))</f>
        <v/>
      </c>
      <c r="I18" s="8">
        <f>IF($A18="","",Students!E18)</f>
        <v/>
      </c>
    </row>
    <row r="19">
      <c r="A19" s="8">
        <f>IF(Students!A19="","",Students!A19)</f>
        <v/>
      </c>
      <c r="B19" s="8">
        <f>IF($A19="","",Students!B19)</f>
        <v/>
      </c>
      <c r="C19" s="8">
        <f>IF($A19="","",Students!C19)</f>
        <v/>
      </c>
      <c r="D19" s="8">
        <f>IF($A19="","",IFERROR(COUNTIF(INDEX(Progress!$E$2:$BK$200,MATCH($A19,Progress!$A$2:$A$200,0),0),TRUE),0))</f>
        <v/>
      </c>
      <c r="E19" s="8">
        <f>IF($A19="","",COUNTIF(Log!$A$2:$A$5000,$A19))</f>
        <v/>
      </c>
      <c r="F19" s="9">
        <f>IF($A19="","",IF(E19=0,"",COUNTIFS(Log!$A$2:$A$5000,$A19,Log!$J$2:$J$5000,TRUE)/E19))</f>
        <v/>
      </c>
      <c r="G19" s="8">
        <f>IF($A19="","",SUMIF(Log!$A$2:$A$5000,$A19,Log!$H$2:$H$5000))</f>
        <v/>
      </c>
      <c r="H19" s="8">
        <f>IF($A19="","",COUNTIF(Fluency!$A$2:$A$5000,$A19))</f>
        <v/>
      </c>
      <c r="I19" s="8">
        <f>IF($A19="","",Students!E19)</f>
        <v/>
      </c>
    </row>
    <row r="20">
      <c r="A20" s="8">
        <f>IF(Students!A20="","",Students!A20)</f>
        <v/>
      </c>
      <c r="B20" s="8">
        <f>IF($A20="","",Students!B20)</f>
        <v/>
      </c>
      <c r="C20" s="8">
        <f>IF($A20="","",Students!C20)</f>
        <v/>
      </c>
      <c r="D20" s="8">
        <f>IF($A20="","",IFERROR(COUNTIF(INDEX(Progress!$E$2:$BK$200,MATCH($A20,Progress!$A$2:$A$200,0),0),TRUE),0))</f>
        <v/>
      </c>
      <c r="E20" s="8">
        <f>IF($A20="","",COUNTIF(Log!$A$2:$A$5000,$A20))</f>
        <v/>
      </c>
      <c r="F20" s="9">
        <f>IF($A20="","",IF(E20=0,"",COUNTIFS(Log!$A$2:$A$5000,$A20,Log!$J$2:$J$5000,TRUE)/E20))</f>
        <v/>
      </c>
      <c r="G20" s="8">
        <f>IF($A20="","",SUMIF(Log!$A$2:$A$5000,$A20,Log!$H$2:$H$5000))</f>
        <v/>
      </c>
      <c r="H20" s="8">
        <f>IF($A20="","",COUNTIF(Fluency!$A$2:$A$5000,$A20))</f>
        <v/>
      </c>
      <c r="I20" s="8">
        <f>IF($A20="","",Students!E20)</f>
        <v/>
      </c>
    </row>
    <row r="21">
      <c r="A21" s="8">
        <f>IF(Students!A21="","",Students!A21)</f>
        <v/>
      </c>
      <c r="B21" s="8">
        <f>IF($A21="","",Students!B21)</f>
        <v/>
      </c>
      <c r="C21" s="8">
        <f>IF($A21="","",Students!C21)</f>
        <v/>
      </c>
      <c r="D21" s="8">
        <f>IF($A21="","",IFERROR(COUNTIF(INDEX(Progress!$E$2:$BK$200,MATCH($A21,Progress!$A$2:$A$200,0),0),TRUE),0))</f>
        <v/>
      </c>
      <c r="E21" s="8">
        <f>IF($A21="","",COUNTIF(Log!$A$2:$A$5000,$A21))</f>
        <v/>
      </c>
      <c r="F21" s="9">
        <f>IF($A21="","",IF(E21=0,"",COUNTIFS(Log!$A$2:$A$5000,$A21,Log!$J$2:$J$5000,TRUE)/E21))</f>
        <v/>
      </c>
      <c r="G21" s="8">
        <f>IF($A21="","",SUMIF(Log!$A$2:$A$5000,$A21,Log!$H$2:$H$5000))</f>
        <v/>
      </c>
      <c r="H21" s="8">
        <f>IF($A21="","",COUNTIF(Fluency!$A$2:$A$5000,$A21))</f>
        <v/>
      </c>
      <c r="I21" s="8">
        <f>IF($A21="","",Students!E21)</f>
        <v/>
      </c>
    </row>
    <row r="22">
      <c r="A22" s="8">
        <f>IF(Students!A22="","",Students!A22)</f>
        <v/>
      </c>
      <c r="B22" s="8">
        <f>IF($A22="","",Students!B22)</f>
        <v/>
      </c>
      <c r="C22" s="8">
        <f>IF($A22="","",Students!C22)</f>
        <v/>
      </c>
      <c r="D22" s="8">
        <f>IF($A22="","",IFERROR(COUNTIF(INDEX(Progress!$E$2:$BK$200,MATCH($A22,Progress!$A$2:$A$200,0),0),TRUE),0))</f>
        <v/>
      </c>
      <c r="E22" s="8">
        <f>IF($A22="","",COUNTIF(Log!$A$2:$A$5000,$A22))</f>
        <v/>
      </c>
      <c r="F22" s="9">
        <f>IF($A22="","",IF(E22=0,"",COUNTIFS(Log!$A$2:$A$5000,$A22,Log!$J$2:$J$5000,TRUE)/E22))</f>
        <v/>
      </c>
      <c r="G22" s="8">
        <f>IF($A22="","",SUMIF(Log!$A$2:$A$5000,$A22,Log!$H$2:$H$5000))</f>
        <v/>
      </c>
      <c r="H22" s="8">
        <f>IF($A22="","",COUNTIF(Fluency!$A$2:$A$5000,$A22))</f>
        <v/>
      </c>
      <c r="I22" s="8">
        <f>IF($A22="","",Students!E22)</f>
        <v/>
      </c>
    </row>
    <row r="23">
      <c r="A23" s="8">
        <f>IF(Students!A23="","",Students!A23)</f>
        <v/>
      </c>
      <c r="B23" s="8">
        <f>IF($A23="","",Students!B23)</f>
        <v/>
      </c>
      <c r="C23" s="8">
        <f>IF($A23="","",Students!C23)</f>
        <v/>
      </c>
      <c r="D23" s="8">
        <f>IF($A23="","",IFERROR(COUNTIF(INDEX(Progress!$E$2:$BK$200,MATCH($A23,Progress!$A$2:$A$200,0),0),TRUE),0))</f>
        <v/>
      </c>
      <c r="E23" s="8">
        <f>IF($A23="","",COUNTIF(Log!$A$2:$A$5000,$A23))</f>
        <v/>
      </c>
      <c r="F23" s="9">
        <f>IF($A23="","",IF(E23=0,"",COUNTIFS(Log!$A$2:$A$5000,$A23,Log!$J$2:$J$5000,TRUE)/E23))</f>
        <v/>
      </c>
      <c r="G23" s="8">
        <f>IF($A23="","",SUMIF(Log!$A$2:$A$5000,$A23,Log!$H$2:$H$5000))</f>
        <v/>
      </c>
      <c r="H23" s="8">
        <f>IF($A23="","",COUNTIF(Fluency!$A$2:$A$5000,$A23))</f>
        <v/>
      </c>
      <c r="I23" s="8">
        <f>IF($A23="","",Students!E23)</f>
        <v/>
      </c>
    </row>
    <row r="24">
      <c r="A24" s="8">
        <f>IF(Students!A24="","",Students!A24)</f>
        <v/>
      </c>
      <c r="B24" s="8">
        <f>IF($A24="","",Students!B24)</f>
        <v/>
      </c>
      <c r="C24" s="8">
        <f>IF($A24="","",Students!C24)</f>
        <v/>
      </c>
      <c r="D24" s="8">
        <f>IF($A24="","",IFERROR(COUNTIF(INDEX(Progress!$E$2:$BK$200,MATCH($A24,Progress!$A$2:$A$200,0),0),TRUE),0))</f>
        <v/>
      </c>
      <c r="E24" s="8">
        <f>IF($A24="","",COUNTIF(Log!$A$2:$A$5000,$A24))</f>
        <v/>
      </c>
      <c r="F24" s="9">
        <f>IF($A24="","",IF(E24=0,"",COUNTIFS(Log!$A$2:$A$5000,$A24,Log!$J$2:$J$5000,TRUE)/E24))</f>
        <v/>
      </c>
      <c r="G24" s="8">
        <f>IF($A24="","",SUMIF(Log!$A$2:$A$5000,$A24,Log!$H$2:$H$5000))</f>
        <v/>
      </c>
      <c r="H24" s="8">
        <f>IF($A24="","",COUNTIF(Fluency!$A$2:$A$5000,$A24))</f>
        <v/>
      </c>
      <c r="I24" s="8">
        <f>IF($A24="","",Students!E24)</f>
        <v/>
      </c>
    </row>
    <row r="25">
      <c r="A25" s="8">
        <f>IF(Students!A25="","",Students!A25)</f>
        <v/>
      </c>
      <c r="B25" s="8">
        <f>IF($A25="","",Students!B25)</f>
        <v/>
      </c>
      <c r="C25" s="8">
        <f>IF($A25="","",Students!C25)</f>
        <v/>
      </c>
      <c r="D25" s="8">
        <f>IF($A25="","",IFERROR(COUNTIF(INDEX(Progress!$E$2:$BK$200,MATCH($A25,Progress!$A$2:$A$200,0),0),TRUE),0))</f>
        <v/>
      </c>
      <c r="E25" s="8">
        <f>IF($A25="","",COUNTIF(Log!$A$2:$A$5000,$A25))</f>
        <v/>
      </c>
      <c r="F25" s="9">
        <f>IF($A25="","",IF(E25=0,"",COUNTIFS(Log!$A$2:$A$5000,$A25,Log!$J$2:$J$5000,TRUE)/E25))</f>
        <v/>
      </c>
      <c r="G25" s="8">
        <f>IF($A25="","",SUMIF(Log!$A$2:$A$5000,$A25,Log!$H$2:$H$5000))</f>
        <v/>
      </c>
      <c r="H25" s="8">
        <f>IF($A25="","",COUNTIF(Fluency!$A$2:$A$5000,$A25))</f>
        <v/>
      </c>
      <c r="I25" s="8">
        <f>IF($A25="","",Students!E25)</f>
        <v/>
      </c>
    </row>
    <row r="26">
      <c r="A26" s="8">
        <f>IF(Students!A26="","",Students!A26)</f>
        <v/>
      </c>
      <c r="B26" s="8">
        <f>IF($A26="","",Students!B26)</f>
        <v/>
      </c>
      <c r="C26" s="8">
        <f>IF($A26="","",Students!C26)</f>
        <v/>
      </c>
      <c r="D26" s="8">
        <f>IF($A26="","",IFERROR(COUNTIF(INDEX(Progress!$E$2:$BK$200,MATCH($A26,Progress!$A$2:$A$200,0),0),TRUE),0))</f>
        <v/>
      </c>
      <c r="E26" s="8">
        <f>IF($A26="","",COUNTIF(Log!$A$2:$A$5000,$A26))</f>
        <v/>
      </c>
      <c r="F26" s="9">
        <f>IF($A26="","",IF(E26=0,"",COUNTIFS(Log!$A$2:$A$5000,$A26,Log!$J$2:$J$5000,TRUE)/E26))</f>
        <v/>
      </c>
      <c r="G26" s="8">
        <f>IF($A26="","",SUMIF(Log!$A$2:$A$5000,$A26,Log!$H$2:$H$5000))</f>
        <v/>
      </c>
      <c r="H26" s="8">
        <f>IF($A26="","",COUNTIF(Fluency!$A$2:$A$5000,$A26))</f>
        <v/>
      </c>
      <c r="I26" s="8">
        <f>IF($A26="","",Students!E26)</f>
        <v/>
      </c>
    </row>
    <row r="27">
      <c r="A27" s="8">
        <f>IF(Students!A27="","",Students!A27)</f>
        <v/>
      </c>
      <c r="B27" s="8">
        <f>IF($A27="","",Students!B27)</f>
        <v/>
      </c>
      <c r="C27" s="8">
        <f>IF($A27="","",Students!C27)</f>
        <v/>
      </c>
      <c r="D27" s="8">
        <f>IF($A27="","",IFERROR(COUNTIF(INDEX(Progress!$E$2:$BK$200,MATCH($A27,Progress!$A$2:$A$200,0),0),TRUE),0))</f>
        <v/>
      </c>
      <c r="E27" s="8">
        <f>IF($A27="","",COUNTIF(Log!$A$2:$A$5000,$A27))</f>
        <v/>
      </c>
      <c r="F27" s="9">
        <f>IF($A27="","",IF(E27=0,"",COUNTIFS(Log!$A$2:$A$5000,$A27,Log!$J$2:$J$5000,TRUE)/E27))</f>
        <v/>
      </c>
      <c r="G27" s="8">
        <f>IF($A27="","",SUMIF(Log!$A$2:$A$5000,$A27,Log!$H$2:$H$5000))</f>
        <v/>
      </c>
      <c r="H27" s="8">
        <f>IF($A27="","",COUNTIF(Fluency!$A$2:$A$5000,$A27))</f>
        <v/>
      </c>
      <c r="I27" s="8">
        <f>IF($A27="","",Students!E27)</f>
        <v/>
      </c>
    </row>
    <row r="28">
      <c r="A28" s="8">
        <f>IF(Students!A28="","",Students!A28)</f>
        <v/>
      </c>
      <c r="B28" s="8">
        <f>IF($A28="","",Students!B28)</f>
        <v/>
      </c>
      <c r="C28" s="8">
        <f>IF($A28="","",Students!C28)</f>
        <v/>
      </c>
      <c r="D28" s="8">
        <f>IF($A28="","",IFERROR(COUNTIF(INDEX(Progress!$E$2:$BK$200,MATCH($A28,Progress!$A$2:$A$200,0),0),TRUE),0))</f>
        <v/>
      </c>
      <c r="E28" s="8">
        <f>IF($A28="","",COUNTIF(Log!$A$2:$A$5000,$A28))</f>
        <v/>
      </c>
      <c r="F28" s="9">
        <f>IF($A28="","",IF(E28=0,"",COUNTIFS(Log!$A$2:$A$5000,$A28,Log!$J$2:$J$5000,TRUE)/E28))</f>
        <v/>
      </c>
      <c r="G28" s="8">
        <f>IF($A28="","",SUMIF(Log!$A$2:$A$5000,$A28,Log!$H$2:$H$5000))</f>
        <v/>
      </c>
      <c r="H28" s="8">
        <f>IF($A28="","",COUNTIF(Fluency!$A$2:$A$5000,$A28))</f>
        <v/>
      </c>
      <c r="I28" s="8">
        <f>IF($A28="","",Students!E28)</f>
        <v/>
      </c>
    </row>
    <row r="29">
      <c r="A29" s="8">
        <f>IF(Students!A29="","",Students!A29)</f>
        <v/>
      </c>
      <c r="B29" s="8">
        <f>IF($A29="","",Students!B29)</f>
        <v/>
      </c>
      <c r="C29" s="8">
        <f>IF($A29="","",Students!C29)</f>
        <v/>
      </c>
      <c r="D29" s="8">
        <f>IF($A29="","",IFERROR(COUNTIF(INDEX(Progress!$E$2:$BK$200,MATCH($A29,Progress!$A$2:$A$200,0),0),TRUE),0))</f>
        <v/>
      </c>
      <c r="E29" s="8">
        <f>IF($A29="","",COUNTIF(Log!$A$2:$A$5000,$A29))</f>
        <v/>
      </c>
      <c r="F29" s="9">
        <f>IF($A29="","",IF(E29=0,"",COUNTIFS(Log!$A$2:$A$5000,$A29,Log!$J$2:$J$5000,TRUE)/E29))</f>
        <v/>
      </c>
      <c r="G29" s="8">
        <f>IF($A29="","",SUMIF(Log!$A$2:$A$5000,$A29,Log!$H$2:$H$5000))</f>
        <v/>
      </c>
      <c r="H29" s="8">
        <f>IF($A29="","",COUNTIF(Fluency!$A$2:$A$5000,$A29))</f>
        <v/>
      </c>
      <c r="I29" s="8">
        <f>IF($A29="","",Students!E29)</f>
        <v/>
      </c>
    </row>
    <row r="30">
      <c r="A30" s="8">
        <f>IF(Students!A30="","",Students!A30)</f>
        <v/>
      </c>
      <c r="B30" s="8">
        <f>IF($A30="","",Students!B30)</f>
        <v/>
      </c>
      <c r="C30" s="8">
        <f>IF($A30="","",Students!C30)</f>
        <v/>
      </c>
      <c r="D30" s="8">
        <f>IF($A30="","",IFERROR(COUNTIF(INDEX(Progress!$E$2:$BK$200,MATCH($A30,Progress!$A$2:$A$200,0),0),TRUE),0))</f>
        <v/>
      </c>
      <c r="E30" s="8">
        <f>IF($A30="","",COUNTIF(Log!$A$2:$A$5000,$A30))</f>
        <v/>
      </c>
      <c r="F30" s="9">
        <f>IF($A30="","",IF(E30=0,"",COUNTIFS(Log!$A$2:$A$5000,$A30,Log!$J$2:$J$5000,TRUE)/E30))</f>
        <v/>
      </c>
      <c r="G30" s="8">
        <f>IF($A30="","",SUMIF(Log!$A$2:$A$5000,$A30,Log!$H$2:$H$5000))</f>
        <v/>
      </c>
      <c r="H30" s="8">
        <f>IF($A30="","",COUNTIF(Fluency!$A$2:$A$5000,$A30))</f>
        <v/>
      </c>
      <c r="I30" s="8">
        <f>IF($A30="","",Students!E30)</f>
        <v/>
      </c>
    </row>
    <row r="31">
      <c r="A31" s="8">
        <f>IF(Students!A31="","",Students!A31)</f>
        <v/>
      </c>
      <c r="B31" s="8">
        <f>IF($A31="","",Students!B31)</f>
        <v/>
      </c>
      <c r="C31" s="8">
        <f>IF($A31="","",Students!C31)</f>
        <v/>
      </c>
      <c r="D31" s="8">
        <f>IF($A31="","",IFERROR(COUNTIF(INDEX(Progress!$E$2:$BK$200,MATCH($A31,Progress!$A$2:$A$200,0),0),TRUE),0))</f>
        <v/>
      </c>
      <c r="E31" s="8">
        <f>IF($A31="","",COUNTIF(Log!$A$2:$A$5000,$A31))</f>
        <v/>
      </c>
      <c r="F31" s="9">
        <f>IF($A31="","",IF(E31=0,"",COUNTIFS(Log!$A$2:$A$5000,$A31,Log!$J$2:$J$5000,TRUE)/E31))</f>
        <v/>
      </c>
      <c r="G31" s="8">
        <f>IF($A31="","",SUMIF(Log!$A$2:$A$5000,$A31,Log!$H$2:$H$5000))</f>
        <v/>
      </c>
      <c r="H31" s="8">
        <f>IF($A31="","",COUNTIF(Fluency!$A$2:$A$5000,$A31))</f>
        <v/>
      </c>
      <c r="I31" s="8">
        <f>IF($A31="","",Students!E31)</f>
        <v/>
      </c>
    </row>
    <row r="32">
      <c r="A32" s="8">
        <f>IF(Students!A32="","",Students!A32)</f>
        <v/>
      </c>
      <c r="B32" s="8">
        <f>IF($A32="","",Students!B32)</f>
        <v/>
      </c>
      <c r="C32" s="8">
        <f>IF($A32="","",Students!C32)</f>
        <v/>
      </c>
      <c r="D32" s="8">
        <f>IF($A32="","",IFERROR(COUNTIF(INDEX(Progress!$E$2:$BK$200,MATCH($A32,Progress!$A$2:$A$200,0),0),TRUE),0))</f>
        <v/>
      </c>
      <c r="E32" s="8">
        <f>IF($A32="","",COUNTIF(Log!$A$2:$A$5000,$A32))</f>
        <v/>
      </c>
      <c r="F32" s="9">
        <f>IF($A32="","",IF(E32=0,"",COUNTIFS(Log!$A$2:$A$5000,$A32,Log!$J$2:$J$5000,TRUE)/E32))</f>
        <v/>
      </c>
      <c r="G32" s="8">
        <f>IF($A32="","",SUMIF(Log!$A$2:$A$5000,$A32,Log!$H$2:$H$5000))</f>
        <v/>
      </c>
      <c r="H32" s="8">
        <f>IF($A32="","",COUNTIF(Fluency!$A$2:$A$5000,$A32))</f>
        <v/>
      </c>
      <c r="I32" s="8">
        <f>IF($A32="","",Students!E32)</f>
        <v/>
      </c>
    </row>
    <row r="33">
      <c r="A33" s="8">
        <f>IF(Students!A33="","",Students!A33)</f>
        <v/>
      </c>
      <c r="B33" s="8">
        <f>IF($A33="","",Students!B33)</f>
        <v/>
      </c>
      <c r="C33" s="8">
        <f>IF($A33="","",Students!C33)</f>
        <v/>
      </c>
      <c r="D33" s="8">
        <f>IF($A33="","",IFERROR(COUNTIF(INDEX(Progress!$E$2:$BK$200,MATCH($A33,Progress!$A$2:$A$200,0),0),TRUE),0))</f>
        <v/>
      </c>
      <c r="E33" s="8">
        <f>IF($A33="","",COUNTIF(Log!$A$2:$A$5000,$A33))</f>
        <v/>
      </c>
      <c r="F33" s="9">
        <f>IF($A33="","",IF(E33=0,"",COUNTIFS(Log!$A$2:$A$5000,$A33,Log!$J$2:$J$5000,TRUE)/E33))</f>
        <v/>
      </c>
      <c r="G33" s="8">
        <f>IF($A33="","",SUMIF(Log!$A$2:$A$5000,$A33,Log!$H$2:$H$5000))</f>
        <v/>
      </c>
      <c r="H33" s="8">
        <f>IF($A33="","",COUNTIF(Fluency!$A$2:$A$5000,$A33))</f>
        <v/>
      </c>
      <c r="I33" s="8">
        <f>IF($A33="","",Students!E33)</f>
        <v/>
      </c>
    </row>
    <row r="34">
      <c r="A34" s="8">
        <f>IF(Students!A34="","",Students!A34)</f>
        <v/>
      </c>
      <c r="B34" s="8">
        <f>IF($A34="","",Students!B34)</f>
        <v/>
      </c>
      <c r="C34" s="8">
        <f>IF($A34="","",Students!C34)</f>
        <v/>
      </c>
      <c r="D34" s="8">
        <f>IF($A34="","",IFERROR(COUNTIF(INDEX(Progress!$E$2:$BK$200,MATCH($A34,Progress!$A$2:$A$200,0),0),TRUE),0))</f>
        <v/>
      </c>
      <c r="E34" s="8">
        <f>IF($A34="","",COUNTIF(Log!$A$2:$A$5000,$A34))</f>
        <v/>
      </c>
      <c r="F34" s="9">
        <f>IF($A34="","",IF(E34=0,"",COUNTIFS(Log!$A$2:$A$5000,$A34,Log!$J$2:$J$5000,TRUE)/E34))</f>
        <v/>
      </c>
      <c r="G34" s="8">
        <f>IF($A34="","",SUMIF(Log!$A$2:$A$5000,$A34,Log!$H$2:$H$5000))</f>
        <v/>
      </c>
      <c r="H34" s="8">
        <f>IF($A34="","",COUNTIF(Fluency!$A$2:$A$5000,$A34))</f>
        <v/>
      </c>
      <c r="I34" s="8">
        <f>IF($A34="","",Students!E34)</f>
        <v/>
      </c>
    </row>
    <row r="35">
      <c r="A35" s="8">
        <f>IF(Students!A35="","",Students!A35)</f>
        <v/>
      </c>
      <c r="B35" s="8">
        <f>IF($A35="","",Students!B35)</f>
        <v/>
      </c>
      <c r="C35" s="8">
        <f>IF($A35="","",Students!C35)</f>
        <v/>
      </c>
      <c r="D35" s="8">
        <f>IF($A35="","",IFERROR(COUNTIF(INDEX(Progress!$E$2:$BK$200,MATCH($A35,Progress!$A$2:$A$200,0),0),TRUE),0))</f>
        <v/>
      </c>
      <c r="E35" s="8">
        <f>IF($A35="","",COUNTIF(Log!$A$2:$A$5000,$A35))</f>
        <v/>
      </c>
      <c r="F35" s="9">
        <f>IF($A35="","",IF(E35=0,"",COUNTIFS(Log!$A$2:$A$5000,$A35,Log!$J$2:$J$5000,TRUE)/E35))</f>
        <v/>
      </c>
      <c r="G35" s="8">
        <f>IF($A35="","",SUMIF(Log!$A$2:$A$5000,$A35,Log!$H$2:$H$5000))</f>
        <v/>
      </c>
      <c r="H35" s="8">
        <f>IF($A35="","",COUNTIF(Fluency!$A$2:$A$5000,$A35))</f>
        <v/>
      </c>
      <c r="I35" s="8">
        <f>IF($A35="","",Students!E35)</f>
        <v/>
      </c>
    </row>
    <row r="36">
      <c r="A36" s="8">
        <f>IF(Students!A36="","",Students!A36)</f>
        <v/>
      </c>
      <c r="B36" s="8">
        <f>IF($A36="","",Students!B36)</f>
        <v/>
      </c>
      <c r="C36" s="8">
        <f>IF($A36="","",Students!C36)</f>
        <v/>
      </c>
      <c r="D36" s="8">
        <f>IF($A36="","",IFERROR(COUNTIF(INDEX(Progress!$E$2:$BK$200,MATCH($A36,Progress!$A$2:$A$200,0),0),TRUE),0))</f>
        <v/>
      </c>
      <c r="E36" s="8">
        <f>IF($A36="","",COUNTIF(Log!$A$2:$A$5000,$A36))</f>
        <v/>
      </c>
      <c r="F36" s="9">
        <f>IF($A36="","",IF(E36=0,"",COUNTIFS(Log!$A$2:$A$5000,$A36,Log!$J$2:$J$5000,TRUE)/E36))</f>
        <v/>
      </c>
      <c r="G36" s="8">
        <f>IF($A36="","",SUMIF(Log!$A$2:$A$5000,$A36,Log!$H$2:$H$5000))</f>
        <v/>
      </c>
      <c r="H36" s="8">
        <f>IF($A36="","",COUNTIF(Fluency!$A$2:$A$5000,$A36))</f>
        <v/>
      </c>
      <c r="I36" s="8">
        <f>IF($A36="","",Students!E36)</f>
        <v/>
      </c>
    </row>
    <row r="37">
      <c r="A37" s="8">
        <f>IF(Students!A37="","",Students!A37)</f>
        <v/>
      </c>
      <c r="B37" s="8">
        <f>IF($A37="","",Students!B37)</f>
        <v/>
      </c>
      <c r="C37" s="8">
        <f>IF($A37="","",Students!C37)</f>
        <v/>
      </c>
      <c r="D37" s="8">
        <f>IF($A37="","",IFERROR(COUNTIF(INDEX(Progress!$E$2:$BK$200,MATCH($A37,Progress!$A$2:$A$200,0),0),TRUE),0))</f>
        <v/>
      </c>
      <c r="E37" s="8">
        <f>IF($A37="","",COUNTIF(Log!$A$2:$A$5000,$A37))</f>
        <v/>
      </c>
      <c r="F37" s="9">
        <f>IF($A37="","",IF(E37=0,"",COUNTIFS(Log!$A$2:$A$5000,$A37,Log!$J$2:$J$5000,TRUE)/E37))</f>
        <v/>
      </c>
      <c r="G37" s="8">
        <f>IF($A37="","",SUMIF(Log!$A$2:$A$5000,$A37,Log!$H$2:$H$5000))</f>
        <v/>
      </c>
      <c r="H37" s="8">
        <f>IF($A37="","",COUNTIF(Fluency!$A$2:$A$5000,$A37))</f>
        <v/>
      </c>
      <c r="I37" s="8">
        <f>IF($A37="","",Students!E37)</f>
        <v/>
      </c>
    </row>
    <row r="38">
      <c r="A38" s="8">
        <f>IF(Students!A38="","",Students!A38)</f>
        <v/>
      </c>
      <c r="B38" s="8">
        <f>IF($A38="","",Students!B38)</f>
        <v/>
      </c>
      <c r="C38" s="8">
        <f>IF($A38="","",Students!C38)</f>
        <v/>
      </c>
      <c r="D38" s="8">
        <f>IF($A38="","",IFERROR(COUNTIF(INDEX(Progress!$E$2:$BK$200,MATCH($A38,Progress!$A$2:$A$200,0),0),TRUE),0))</f>
        <v/>
      </c>
      <c r="E38" s="8">
        <f>IF($A38="","",COUNTIF(Log!$A$2:$A$5000,$A38))</f>
        <v/>
      </c>
      <c r="F38" s="9">
        <f>IF($A38="","",IF(E38=0,"",COUNTIFS(Log!$A$2:$A$5000,$A38,Log!$J$2:$J$5000,TRUE)/E38))</f>
        <v/>
      </c>
      <c r="G38" s="8">
        <f>IF($A38="","",SUMIF(Log!$A$2:$A$5000,$A38,Log!$H$2:$H$5000))</f>
        <v/>
      </c>
      <c r="H38" s="8">
        <f>IF($A38="","",COUNTIF(Fluency!$A$2:$A$5000,$A38))</f>
        <v/>
      </c>
      <c r="I38" s="8">
        <f>IF($A38="","",Students!E38)</f>
        <v/>
      </c>
    </row>
    <row r="39">
      <c r="A39" s="8">
        <f>IF(Students!A39="","",Students!A39)</f>
        <v/>
      </c>
      <c r="B39" s="8">
        <f>IF($A39="","",Students!B39)</f>
        <v/>
      </c>
      <c r="C39" s="8">
        <f>IF($A39="","",Students!C39)</f>
        <v/>
      </c>
      <c r="D39" s="8">
        <f>IF($A39="","",IFERROR(COUNTIF(INDEX(Progress!$E$2:$BK$200,MATCH($A39,Progress!$A$2:$A$200,0),0),TRUE),0))</f>
        <v/>
      </c>
      <c r="E39" s="8">
        <f>IF($A39="","",COUNTIF(Log!$A$2:$A$5000,$A39))</f>
        <v/>
      </c>
      <c r="F39" s="9">
        <f>IF($A39="","",IF(E39=0,"",COUNTIFS(Log!$A$2:$A$5000,$A39,Log!$J$2:$J$5000,TRUE)/E39))</f>
        <v/>
      </c>
      <c r="G39" s="8">
        <f>IF($A39="","",SUMIF(Log!$A$2:$A$5000,$A39,Log!$H$2:$H$5000))</f>
        <v/>
      </c>
      <c r="H39" s="8">
        <f>IF($A39="","",COUNTIF(Fluency!$A$2:$A$5000,$A39))</f>
        <v/>
      </c>
      <c r="I39" s="8">
        <f>IF($A39="","",Students!E39)</f>
        <v/>
      </c>
    </row>
    <row r="40">
      <c r="A40" s="8">
        <f>IF(Students!A40="","",Students!A40)</f>
        <v/>
      </c>
      <c r="B40" s="8">
        <f>IF($A40="","",Students!B40)</f>
        <v/>
      </c>
      <c r="C40" s="8">
        <f>IF($A40="","",Students!C40)</f>
        <v/>
      </c>
      <c r="D40" s="8">
        <f>IF($A40="","",IFERROR(COUNTIF(INDEX(Progress!$E$2:$BK$200,MATCH($A40,Progress!$A$2:$A$200,0),0),TRUE),0))</f>
        <v/>
      </c>
      <c r="E40" s="8">
        <f>IF($A40="","",COUNTIF(Log!$A$2:$A$5000,$A40))</f>
        <v/>
      </c>
      <c r="F40" s="9">
        <f>IF($A40="","",IF(E40=0,"",COUNTIFS(Log!$A$2:$A$5000,$A40,Log!$J$2:$J$5000,TRUE)/E40))</f>
        <v/>
      </c>
      <c r="G40" s="8">
        <f>IF($A40="","",SUMIF(Log!$A$2:$A$5000,$A40,Log!$H$2:$H$5000))</f>
        <v/>
      </c>
      <c r="H40" s="8">
        <f>IF($A40="","",COUNTIF(Fluency!$A$2:$A$5000,$A40))</f>
        <v/>
      </c>
      <c r="I40" s="8">
        <f>IF($A40="","",Students!E40)</f>
        <v/>
      </c>
    </row>
    <row r="41">
      <c r="A41" s="8">
        <f>IF(Students!A41="","",Students!A41)</f>
        <v/>
      </c>
      <c r="B41" s="8">
        <f>IF($A41="","",Students!B41)</f>
        <v/>
      </c>
      <c r="C41" s="8">
        <f>IF($A41="","",Students!C41)</f>
        <v/>
      </c>
      <c r="D41" s="8">
        <f>IF($A41="","",IFERROR(COUNTIF(INDEX(Progress!$E$2:$BK$200,MATCH($A41,Progress!$A$2:$A$200,0),0),TRUE),0))</f>
        <v/>
      </c>
      <c r="E41" s="8">
        <f>IF($A41="","",COUNTIF(Log!$A$2:$A$5000,$A41))</f>
        <v/>
      </c>
      <c r="F41" s="9">
        <f>IF($A41="","",IF(E41=0,"",COUNTIFS(Log!$A$2:$A$5000,$A41,Log!$J$2:$J$5000,TRUE)/E41))</f>
        <v/>
      </c>
      <c r="G41" s="8">
        <f>IF($A41="","",SUMIF(Log!$A$2:$A$5000,$A41,Log!$H$2:$H$5000))</f>
        <v/>
      </c>
      <c r="H41" s="8">
        <f>IF($A41="","",COUNTIF(Fluency!$A$2:$A$5000,$A41))</f>
        <v/>
      </c>
      <c r="I41" s="8">
        <f>IF($A41="","",Students!E41)</f>
        <v/>
      </c>
    </row>
    <row r="42">
      <c r="A42" s="8">
        <f>IF(Students!A42="","",Students!A42)</f>
        <v/>
      </c>
      <c r="B42" s="8">
        <f>IF($A42="","",Students!B42)</f>
        <v/>
      </c>
      <c r="C42" s="8">
        <f>IF($A42="","",Students!C42)</f>
        <v/>
      </c>
      <c r="D42" s="8">
        <f>IF($A42="","",IFERROR(COUNTIF(INDEX(Progress!$E$2:$BK$200,MATCH($A42,Progress!$A$2:$A$200,0),0),TRUE),0))</f>
        <v/>
      </c>
      <c r="E42" s="8">
        <f>IF($A42="","",COUNTIF(Log!$A$2:$A$5000,$A42))</f>
        <v/>
      </c>
      <c r="F42" s="9">
        <f>IF($A42="","",IF(E42=0,"",COUNTIFS(Log!$A$2:$A$5000,$A42,Log!$J$2:$J$5000,TRUE)/E42))</f>
        <v/>
      </c>
      <c r="G42" s="8">
        <f>IF($A42="","",SUMIF(Log!$A$2:$A$5000,$A42,Log!$H$2:$H$5000))</f>
        <v/>
      </c>
      <c r="H42" s="8">
        <f>IF($A42="","",COUNTIF(Fluency!$A$2:$A$5000,$A42))</f>
        <v/>
      </c>
      <c r="I42" s="8">
        <f>IF($A42="","",Students!E42)</f>
        <v/>
      </c>
    </row>
    <row r="43">
      <c r="A43" s="8">
        <f>IF(Students!A43="","",Students!A43)</f>
        <v/>
      </c>
      <c r="B43" s="8">
        <f>IF($A43="","",Students!B43)</f>
        <v/>
      </c>
      <c r="C43" s="8">
        <f>IF($A43="","",Students!C43)</f>
        <v/>
      </c>
      <c r="D43" s="8">
        <f>IF($A43="","",IFERROR(COUNTIF(INDEX(Progress!$E$2:$BK$200,MATCH($A43,Progress!$A$2:$A$200,0),0),TRUE),0))</f>
        <v/>
      </c>
      <c r="E43" s="8">
        <f>IF($A43="","",COUNTIF(Log!$A$2:$A$5000,$A43))</f>
        <v/>
      </c>
      <c r="F43" s="9">
        <f>IF($A43="","",IF(E43=0,"",COUNTIFS(Log!$A$2:$A$5000,$A43,Log!$J$2:$J$5000,TRUE)/E43))</f>
        <v/>
      </c>
      <c r="G43" s="8">
        <f>IF($A43="","",SUMIF(Log!$A$2:$A$5000,$A43,Log!$H$2:$H$5000))</f>
        <v/>
      </c>
      <c r="H43" s="8">
        <f>IF($A43="","",COUNTIF(Fluency!$A$2:$A$5000,$A43))</f>
        <v/>
      </c>
      <c r="I43" s="8">
        <f>IF($A43="","",Students!E43)</f>
        <v/>
      </c>
    </row>
    <row r="44">
      <c r="A44" s="8">
        <f>IF(Students!A44="","",Students!A44)</f>
        <v/>
      </c>
      <c r="B44" s="8">
        <f>IF($A44="","",Students!B44)</f>
        <v/>
      </c>
      <c r="C44" s="8">
        <f>IF($A44="","",Students!C44)</f>
        <v/>
      </c>
      <c r="D44" s="8">
        <f>IF($A44="","",IFERROR(COUNTIF(INDEX(Progress!$E$2:$BK$200,MATCH($A44,Progress!$A$2:$A$200,0),0),TRUE),0))</f>
        <v/>
      </c>
      <c r="E44" s="8">
        <f>IF($A44="","",COUNTIF(Log!$A$2:$A$5000,$A44))</f>
        <v/>
      </c>
      <c r="F44" s="9">
        <f>IF($A44="","",IF(E44=0,"",COUNTIFS(Log!$A$2:$A$5000,$A44,Log!$J$2:$J$5000,TRUE)/E44))</f>
        <v/>
      </c>
      <c r="G44" s="8">
        <f>IF($A44="","",SUMIF(Log!$A$2:$A$5000,$A44,Log!$H$2:$H$5000))</f>
        <v/>
      </c>
      <c r="H44" s="8">
        <f>IF($A44="","",COUNTIF(Fluency!$A$2:$A$5000,$A44))</f>
        <v/>
      </c>
      <c r="I44" s="8">
        <f>IF($A44="","",Students!E44)</f>
        <v/>
      </c>
    </row>
    <row r="45">
      <c r="A45" s="8">
        <f>IF(Students!A45="","",Students!A45)</f>
        <v/>
      </c>
      <c r="B45" s="8">
        <f>IF($A45="","",Students!B45)</f>
        <v/>
      </c>
      <c r="C45" s="8">
        <f>IF($A45="","",Students!C45)</f>
        <v/>
      </c>
      <c r="D45" s="8">
        <f>IF($A45="","",IFERROR(COUNTIF(INDEX(Progress!$E$2:$BK$200,MATCH($A45,Progress!$A$2:$A$200,0),0),TRUE),0))</f>
        <v/>
      </c>
      <c r="E45" s="8">
        <f>IF($A45="","",COUNTIF(Log!$A$2:$A$5000,$A45))</f>
        <v/>
      </c>
      <c r="F45" s="9">
        <f>IF($A45="","",IF(E45=0,"",COUNTIFS(Log!$A$2:$A$5000,$A45,Log!$J$2:$J$5000,TRUE)/E45))</f>
        <v/>
      </c>
      <c r="G45" s="8">
        <f>IF($A45="","",SUMIF(Log!$A$2:$A$5000,$A45,Log!$H$2:$H$5000))</f>
        <v/>
      </c>
      <c r="H45" s="8">
        <f>IF($A45="","",COUNTIF(Fluency!$A$2:$A$5000,$A45))</f>
        <v/>
      </c>
      <c r="I45" s="8">
        <f>IF($A45="","",Students!E45)</f>
        <v/>
      </c>
    </row>
    <row r="46">
      <c r="A46" s="8">
        <f>IF(Students!A46="","",Students!A46)</f>
        <v/>
      </c>
      <c r="B46" s="8">
        <f>IF($A46="","",Students!B46)</f>
        <v/>
      </c>
      <c r="C46" s="8">
        <f>IF($A46="","",Students!C46)</f>
        <v/>
      </c>
      <c r="D46" s="8">
        <f>IF($A46="","",IFERROR(COUNTIF(INDEX(Progress!$E$2:$BK$200,MATCH($A46,Progress!$A$2:$A$200,0),0),TRUE),0))</f>
        <v/>
      </c>
      <c r="E46" s="8">
        <f>IF($A46="","",COUNTIF(Log!$A$2:$A$5000,$A46))</f>
        <v/>
      </c>
      <c r="F46" s="9">
        <f>IF($A46="","",IF(E46=0,"",COUNTIFS(Log!$A$2:$A$5000,$A46,Log!$J$2:$J$5000,TRUE)/E46))</f>
        <v/>
      </c>
      <c r="G46" s="8">
        <f>IF($A46="","",SUMIF(Log!$A$2:$A$5000,$A46,Log!$H$2:$H$5000))</f>
        <v/>
      </c>
      <c r="H46" s="8">
        <f>IF($A46="","",COUNTIF(Fluency!$A$2:$A$5000,$A46))</f>
        <v/>
      </c>
      <c r="I46" s="8">
        <f>IF($A46="","",Students!E46)</f>
        <v/>
      </c>
    </row>
    <row r="47">
      <c r="A47" s="8">
        <f>IF(Students!A47="","",Students!A47)</f>
        <v/>
      </c>
      <c r="B47" s="8">
        <f>IF($A47="","",Students!B47)</f>
        <v/>
      </c>
      <c r="C47" s="8">
        <f>IF($A47="","",Students!C47)</f>
        <v/>
      </c>
      <c r="D47" s="8">
        <f>IF($A47="","",IFERROR(COUNTIF(INDEX(Progress!$E$2:$BK$200,MATCH($A47,Progress!$A$2:$A$200,0),0),TRUE),0))</f>
        <v/>
      </c>
      <c r="E47" s="8">
        <f>IF($A47="","",COUNTIF(Log!$A$2:$A$5000,$A47))</f>
        <v/>
      </c>
      <c r="F47" s="9">
        <f>IF($A47="","",IF(E47=0,"",COUNTIFS(Log!$A$2:$A$5000,$A47,Log!$J$2:$J$5000,TRUE)/E47))</f>
        <v/>
      </c>
      <c r="G47" s="8">
        <f>IF($A47="","",SUMIF(Log!$A$2:$A$5000,$A47,Log!$H$2:$H$5000))</f>
        <v/>
      </c>
      <c r="H47" s="8">
        <f>IF($A47="","",COUNTIF(Fluency!$A$2:$A$5000,$A47))</f>
        <v/>
      </c>
      <c r="I47" s="8">
        <f>IF($A47="","",Students!E47)</f>
        <v/>
      </c>
    </row>
    <row r="48">
      <c r="A48" s="8">
        <f>IF(Students!A48="","",Students!A48)</f>
        <v/>
      </c>
      <c r="B48" s="8">
        <f>IF($A48="","",Students!B48)</f>
        <v/>
      </c>
      <c r="C48" s="8">
        <f>IF($A48="","",Students!C48)</f>
        <v/>
      </c>
      <c r="D48" s="8">
        <f>IF($A48="","",IFERROR(COUNTIF(INDEX(Progress!$E$2:$BK$200,MATCH($A48,Progress!$A$2:$A$200,0),0),TRUE),0))</f>
        <v/>
      </c>
      <c r="E48" s="8">
        <f>IF($A48="","",COUNTIF(Log!$A$2:$A$5000,$A48))</f>
        <v/>
      </c>
      <c r="F48" s="9">
        <f>IF($A48="","",IF(E48=0,"",COUNTIFS(Log!$A$2:$A$5000,$A48,Log!$J$2:$J$5000,TRUE)/E48))</f>
        <v/>
      </c>
      <c r="G48" s="8">
        <f>IF($A48="","",SUMIF(Log!$A$2:$A$5000,$A48,Log!$H$2:$H$5000))</f>
        <v/>
      </c>
      <c r="H48" s="8">
        <f>IF($A48="","",COUNTIF(Fluency!$A$2:$A$5000,$A48))</f>
        <v/>
      </c>
      <c r="I48" s="8">
        <f>IF($A48="","",Students!E48)</f>
        <v/>
      </c>
    </row>
    <row r="49">
      <c r="A49" s="8">
        <f>IF(Students!A49="","",Students!A49)</f>
        <v/>
      </c>
      <c r="B49" s="8">
        <f>IF($A49="","",Students!B49)</f>
        <v/>
      </c>
      <c r="C49" s="8">
        <f>IF($A49="","",Students!C49)</f>
        <v/>
      </c>
      <c r="D49" s="8">
        <f>IF($A49="","",IFERROR(COUNTIF(INDEX(Progress!$E$2:$BK$200,MATCH($A49,Progress!$A$2:$A$200,0),0),TRUE),0))</f>
        <v/>
      </c>
      <c r="E49" s="8">
        <f>IF($A49="","",COUNTIF(Log!$A$2:$A$5000,$A49))</f>
        <v/>
      </c>
      <c r="F49" s="9">
        <f>IF($A49="","",IF(E49=0,"",COUNTIFS(Log!$A$2:$A$5000,$A49,Log!$J$2:$J$5000,TRUE)/E49))</f>
        <v/>
      </c>
      <c r="G49" s="8">
        <f>IF($A49="","",SUMIF(Log!$A$2:$A$5000,$A49,Log!$H$2:$H$5000))</f>
        <v/>
      </c>
      <c r="H49" s="8">
        <f>IF($A49="","",COUNTIF(Fluency!$A$2:$A$5000,$A49))</f>
        <v/>
      </c>
      <c r="I49" s="8">
        <f>IF($A49="","",Students!E49)</f>
        <v/>
      </c>
    </row>
    <row r="50">
      <c r="A50" s="8">
        <f>IF(Students!A50="","",Students!A50)</f>
        <v/>
      </c>
      <c r="B50" s="8">
        <f>IF($A50="","",Students!B50)</f>
        <v/>
      </c>
      <c r="C50" s="8">
        <f>IF($A50="","",Students!C50)</f>
        <v/>
      </c>
      <c r="D50" s="8">
        <f>IF($A50="","",IFERROR(COUNTIF(INDEX(Progress!$E$2:$BK$200,MATCH($A50,Progress!$A$2:$A$200,0),0),TRUE),0))</f>
        <v/>
      </c>
      <c r="E50" s="8">
        <f>IF($A50="","",COUNTIF(Log!$A$2:$A$5000,$A50))</f>
        <v/>
      </c>
      <c r="F50" s="9">
        <f>IF($A50="","",IF(E50=0,"",COUNTIFS(Log!$A$2:$A$5000,$A50,Log!$J$2:$J$5000,TRUE)/E50))</f>
        <v/>
      </c>
      <c r="G50" s="8">
        <f>IF($A50="","",SUMIF(Log!$A$2:$A$5000,$A50,Log!$H$2:$H$5000))</f>
        <v/>
      </c>
      <c r="H50" s="8">
        <f>IF($A50="","",COUNTIF(Fluency!$A$2:$A$5000,$A50))</f>
        <v/>
      </c>
      <c r="I50" s="8">
        <f>IF($A50="","",Students!E50)</f>
        <v/>
      </c>
    </row>
    <row r="51">
      <c r="A51" s="8">
        <f>IF(Students!A51="","",Students!A51)</f>
        <v/>
      </c>
      <c r="B51" s="8">
        <f>IF($A51="","",Students!B51)</f>
        <v/>
      </c>
      <c r="C51" s="8">
        <f>IF($A51="","",Students!C51)</f>
        <v/>
      </c>
      <c r="D51" s="8">
        <f>IF($A51="","",IFERROR(COUNTIF(INDEX(Progress!$E$2:$BK$200,MATCH($A51,Progress!$A$2:$A$200,0),0),TRUE),0))</f>
        <v/>
      </c>
      <c r="E51" s="8">
        <f>IF($A51="","",COUNTIF(Log!$A$2:$A$5000,$A51))</f>
        <v/>
      </c>
      <c r="F51" s="9">
        <f>IF($A51="","",IF(E51=0,"",COUNTIFS(Log!$A$2:$A$5000,$A51,Log!$J$2:$J$5000,TRUE)/E51))</f>
        <v/>
      </c>
      <c r="G51" s="8">
        <f>IF($A51="","",SUMIF(Log!$A$2:$A$5000,$A51,Log!$H$2:$H$5000))</f>
        <v/>
      </c>
      <c r="H51" s="8">
        <f>IF($A51="","",COUNTIF(Fluency!$A$2:$A$5000,$A51))</f>
        <v/>
      </c>
      <c r="I51" s="8">
        <f>IF($A51="","",Students!E51)</f>
        <v/>
      </c>
    </row>
    <row r="52">
      <c r="A52" s="8">
        <f>IF(Students!A52="","",Students!A52)</f>
        <v/>
      </c>
      <c r="B52" s="8">
        <f>IF($A52="","",Students!B52)</f>
        <v/>
      </c>
      <c r="C52" s="8">
        <f>IF($A52="","",Students!C52)</f>
        <v/>
      </c>
      <c r="D52" s="8">
        <f>IF($A52="","",IFERROR(COUNTIF(INDEX(Progress!$E$2:$BK$200,MATCH($A52,Progress!$A$2:$A$200,0),0),TRUE),0))</f>
        <v/>
      </c>
      <c r="E52" s="8">
        <f>IF($A52="","",COUNTIF(Log!$A$2:$A$5000,$A52))</f>
        <v/>
      </c>
      <c r="F52" s="9">
        <f>IF($A52="","",IF(E52=0,"",COUNTIFS(Log!$A$2:$A$5000,$A52,Log!$J$2:$J$5000,TRUE)/E52))</f>
        <v/>
      </c>
      <c r="G52" s="8">
        <f>IF($A52="","",SUMIF(Log!$A$2:$A$5000,$A52,Log!$H$2:$H$5000))</f>
        <v/>
      </c>
      <c r="H52" s="8">
        <f>IF($A52="","",COUNTIF(Fluency!$A$2:$A$5000,$A52))</f>
        <v/>
      </c>
      <c r="I52" s="8">
        <f>IF($A52="","",Students!E52)</f>
        <v/>
      </c>
    </row>
    <row r="53">
      <c r="A53" s="8">
        <f>IF(Students!A53="","",Students!A53)</f>
        <v/>
      </c>
      <c r="B53" s="8">
        <f>IF($A53="","",Students!B53)</f>
        <v/>
      </c>
      <c r="C53" s="8">
        <f>IF($A53="","",Students!C53)</f>
        <v/>
      </c>
      <c r="D53" s="8">
        <f>IF($A53="","",IFERROR(COUNTIF(INDEX(Progress!$E$2:$BK$200,MATCH($A53,Progress!$A$2:$A$200,0),0),TRUE),0))</f>
        <v/>
      </c>
      <c r="E53" s="8">
        <f>IF($A53="","",COUNTIF(Log!$A$2:$A$5000,$A53))</f>
        <v/>
      </c>
      <c r="F53" s="9">
        <f>IF($A53="","",IF(E53=0,"",COUNTIFS(Log!$A$2:$A$5000,$A53,Log!$J$2:$J$5000,TRUE)/E53))</f>
        <v/>
      </c>
      <c r="G53" s="8">
        <f>IF($A53="","",SUMIF(Log!$A$2:$A$5000,$A53,Log!$H$2:$H$5000))</f>
        <v/>
      </c>
      <c r="H53" s="8">
        <f>IF($A53="","",COUNTIF(Fluency!$A$2:$A$5000,$A53))</f>
        <v/>
      </c>
      <c r="I53" s="8">
        <f>IF($A53="","",Students!E53)</f>
        <v/>
      </c>
    </row>
    <row r="54">
      <c r="A54" s="8">
        <f>IF(Students!A54="","",Students!A54)</f>
        <v/>
      </c>
      <c r="B54" s="8">
        <f>IF($A54="","",Students!B54)</f>
        <v/>
      </c>
      <c r="C54" s="8">
        <f>IF($A54="","",Students!C54)</f>
        <v/>
      </c>
      <c r="D54" s="8">
        <f>IF($A54="","",IFERROR(COUNTIF(INDEX(Progress!$E$2:$BK$200,MATCH($A54,Progress!$A$2:$A$200,0),0),TRUE),0))</f>
        <v/>
      </c>
      <c r="E54" s="8">
        <f>IF($A54="","",COUNTIF(Log!$A$2:$A$5000,$A54))</f>
        <v/>
      </c>
      <c r="F54" s="9">
        <f>IF($A54="","",IF(E54=0,"",COUNTIFS(Log!$A$2:$A$5000,$A54,Log!$J$2:$J$5000,TRUE)/E54))</f>
        <v/>
      </c>
      <c r="G54" s="8">
        <f>IF($A54="","",SUMIF(Log!$A$2:$A$5000,$A54,Log!$H$2:$H$5000))</f>
        <v/>
      </c>
      <c r="H54" s="8">
        <f>IF($A54="","",COUNTIF(Fluency!$A$2:$A$5000,$A54))</f>
        <v/>
      </c>
      <c r="I54" s="8">
        <f>IF($A54="","",Students!E54)</f>
        <v/>
      </c>
    </row>
    <row r="55">
      <c r="A55" s="8">
        <f>IF(Students!A55="","",Students!A55)</f>
        <v/>
      </c>
      <c r="B55" s="8">
        <f>IF($A55="","",Students!B55)</f>
        <v/>
      </c>
      <c r="C55" s="8">
        <f>IF($A55="","",Students!C55)</f>
        <v/>
      </c>
      <c r="D55" s="8">
        <f>IF($A55="","",IFERROR(COUNTIF(INDEX(Progress!$E$2:$BK$200,MATCH($A55,Progress!$A$2:$A$200,0),0),TRUE),0))</f>
        <v/>
      </c>
      <c r="E55" s="8">
        <f>IF($A55="","",COUNTIF(Log!$A$2:$A$5000,$A55))</f>
        <v/>
      </c>
      <c r="F55" s="9">
        <f>IF($A55="","",IF(E55=0,"",COUNTIFS(Log!$A$2:$A$5000,$A55,Log!$J$2:$J$5000,TRUE)/E55))</f>
        <v/>
      </c>
      <c r="G55" s="8">
        <f>IF($A55="","",SUMIF(Log!$A$2:$A$5000,$A55,Log!$H$2:$H$5000))</f>
        <v/>
      </c>
      <c r="H55" s="8">
        <f>IF($A55="","",COUNTIF(Fluency!$A$2:$A$5000,$A55))</f>
        <v/>
      </c>
      <c r="I55" s="8">
        <f>IF($A55="","",Students!E55)</f>
        <v/>
      </c>
    </row>
    <row r="56">
      <c r="A56" s="8">
        <f>IF(Students!A56="","",Students!A56)</f>
        <v/>
      </c>
      <c r="B56" s="8">
        <f>IF($A56="","",Students!B56)</f>
        <v/>
      </c>
      <c r="C56" s="8">
        <f>IF($A56="","",Students!C56)</f>
        <v/>
      </c>
      <c r="D56" s="8">
        <f>IF($A56="","",IFERROR(COUNTIF(INDEX(Progress!$E$2:$BK$200,MATCH($A56,Progress!$A$2:$A$200,0),0),TRUE),0))</f>
        <v/>
      </c>
      <c r="E56" s="8">
        <f>IF($A56="","",COUNTIF(Log!$A$2:$A$5000,$A56))</f>
        <v/>
      </c>
      <c r="F56" s="9">
        <f>IF($A56="","",IF(E56=0,"",COUNTIFS(Log!$A$2:$A$5000,$A56,Log!$J$2:$J$5000,TRUE)/E56))</f>
        <v/>
      </c>
      <c r="G56" s="8">
        <f>IF($A56="","",SUMIF(Log!$A$2:$A$5000,$A56,Log!$H$2:$H$5000))</f>
        <v/>
      </c>
      <c r="H56" s="8">
        <f>IF($A56="","",COUNTIF(Fluency!$A$2:$A$5000,$A56))</f>
        <v/>
      </c>
      <c r="I56" s="8">
        <f>IF($A56="","",Students!E56)</f>
        <v/>
      </c>
    </row>
    <row r="57">
      <c r="A57" s="8">
        <f>IF(Students!A57="","",Students!A57)</f>
        <v/>
      </c>
      <c r="B57" s="8">
        <f>IF($A57="","",Students!B57)</f>
        <v/>
      </c>
      <c r="C57" s="8">
        <f>IF($A57="","",Students!C57)</f>
        <v/>
      </c>
      <c r="D57" s="8">
        <f>IF($A57="","",IFERROR(COUNTIF(INDEX(Progress!$E$2:$BK$200,MATCH($A57,Progress!$A$2:$A$200,0),0),TRUE),0))</f>
        <v/>
      </c>
      <c r="E57" s="8">
        <f>IF($A57="","",COUNTIF(Log!$A$2:$A$5000,$A57))</f>
        <v/>
      </c>
      <c r="F57" s="9">
        <f>IF($A57="","",IF(E57=0,"",COUNTIFS(Log!$A$2:$A$5000,$A57,Log!$J$2:$J$5000,TRUE)/E57))</f>
        <v/>
      </c>
      <c r="G57" s="8">
        <f>IF($A57="","",SUMIF(Log!$A$2:$A$5000,$A57,Log!$H$2:$H$5000))</f>
        <v/>
      </c>
      <c r="H57" s="8">
        <f>IF($A57="","",COUNTIF(Fluency!$A$2:$A$5000,$A57))</f>
        <v/>
      </c>
      <c r="I57" s="8">
        <f>IF($A57="","",Students!E57)</f>
        <v/>
      </c>
    </row>
    <row r="58">
      <c r="A58" s="8">
        <f>IF(Students!A58="","",Students!A58)</f>
        <v/>
      </c>
      <c r="B58" s="8">
        <f>IF($A58="","",Students!B58)</f>
        <v/>
      </c>
      <c r="C58" s="8">
        <f>IF($A58="","",Students!C58)</f>
        <v/>
      </c>
      <c r="D58" s="8">
        <f>IF($A58="","",IFERROR(COUNTIF(INDEX(Progress!$E$2:$BK$200,MATCH($A58,Progress!$A$2:$A$200,0),0),TRUE),0))</f>
        <v/>
      </c>
      <c r="E58" s="8">
        <f>IF($A58="","",COUNTIF(Log!$A$2:$A$5000,$A58))</f>
        <v/>
      </c>
      <c r="F58" s="9">
        <f>IF($A58="","",IF(E58=0,"",COUNTIFS(Log!$A$2:$A$5000,$A58,Log!$J$2:$J$5000,TRUE)/E58))</f>
        <v/>
      </c>
      <c r="G58" s="8">
        <f>IF($A58="","",SUMIF(Log!$A$2:$A$5000,$A58,Log!$H$2:$H$5000))</f>
        <v/>
      </c>
      <c r="H58" s="8">
        <f>IF($A58="","",COUNTIF(Fluency!$A$2:$A$5000,$A58))</f>
        <v/>
      </c>
      <c r="I58" s="8">
        <f>IF($A58="","",Students!E58)</f>
        <v/>
      </c>
    </row>
    <row r="59">
      <c r="A59" s="8">
        <f>IF(Students!A59="","",Students!A59)</f>
        <v/>
      </c>
      <c r="B59" s="8">
        <f>IF($A59="","",Students!B59)</f>
        <v/>
      </c>
      <c r="C59" s="8">
        <f>IF($A59="","",Students!C59)</f>
        <v/>
      </c>
      <c r="D59" s="8">
        <f>IF($A59="","",IFERROR(COUNTIF(INDEX(Progress!$E$2:$BK$200,MATCH($A59,Progress!$A$2:$A$200,0),0),TRUE),0))</f>
        <v/>
      </c>
      <c r="E59" s="8">
        <f>IF($A59="","",COUNTIF(Log!$A$2:$A$5000,$A59))</f>
        <v/>
      </c>
      <c r="F59" s="9">
        <f>IF($A59="","",IF(E59=0,"",COUNTIFS(Log!$A$2:$A$5000,$A59,Log!$J$2:$J$5000,TRUE)/E59))</f>
        <v/>
      </c>
      <c r="G59" s="8">
        <f>IF($A59="","",SUMIF(Log!$A$2:$A$5000,$A59,Log!$H$2:$H$5000))</f>
        <v/>
      </c>
      <c r="H59" s="8">
        <f>IF($A59="","",COUNTIF(Fluency!$A$2:$A$5000,$A59))</f>
        <v/>
      </c>
      <c r="I59" s="8">
        <f>IF($A59="","",Students!E59)</f>
        <v/>
      </c>
    </row>
    <row r="60">
      <c r="A60" s="8">
        <f>IF(Students!A60="","",Students!A60)</f>
        <v/>
      </c>
      <c r="B60" s="8">
        <f>IF($A60="","",Students!B60)</f>
        <v/>
      </c>
      <c r="C60" s="8">
        <f>IF($A60="","",Students!C60)</f>
        <v/>
      </c>
      <c r="D60" s="8">
        <f>IF($A60="","",IFERROR(COUNTIF(INDEX(Progress!$E$2:$BK$200,MATCH($A60,Progress!$A$2:$A$200,0),0),TRUE),0))</f>
        <v/>
      </c>
      <c r="E60" s="8">
        <f>IF($A60="","",COUNTIF(Log!$A$2:$A$5000,$A60))</f>
        <v/>
      </c>
      <c r="F60" s="9">
        <f>IF($A60="","",IF(E60=0,"",COUNTIFS(Log!$A$2:$A$5000,$A60,Log!$J$2:$J$5000,TRUE)/E60))</f>
        <v/>
      </c>
      <c r="G60" s="8">
        <f>IF($A60="","",SUMIF(Log!$A$2:$A$5000,$A60,Log!$H$2:$H$5000))</f>
        <v/>
      </c>
      <c r="H60" s="8">
        <f>IF($A60="","",COUNTIF(Fluency!$A$2:$A$5000,$A60))</f>
        <v/>
      </c>
      <c r="I60" s="8">
        <f>IF($A60="","",Students!E60)</f>
        <v/>
      </c>
    </row>
    <row r="61">
      <c r="A61">
        <f>IF(Students!A61="","",Students!A61)</f>
        <v/>
      </c>
      <c r="B61">
        <f>IF($A61="","",Students!B61)</f>
        <v/>
      </c>
      <c r="C61">
        <f>IF($A61="","",Students!C61)</f>
        <v/>
      </c>
      <c r="D61">
        <f>IF($A61="","",IFERROR(COUNTIF(INDEX(Progress!$E$2:$BK$200,MATCH($A61,Progress!$A$2:$A$200,0),0),TRUE),0))</f>
        <v/>
      </c>
      <c r="E61">
        <f>IF($A61="","",COUNTIF(Log!$A$2:$A$5000,$A61))</f>
        <v/>
      </c>
      <c r="F61" s="10">
        <f>IF($A61="","",IF(E61=0,"",COUNTIFS(Log!$A$2:$A$5000,$A61,Log!$J$2:$J$5000,TRUE)/E61))</f>
        <v/>
      </c>
      <c r="G61">
        <f>IF($A61="","",SUMIF(Log!$A$2:$A$5000,$A61,Log!$H$2:$H$5000))</f>
        <v/>
      </c>
      <c r="H61">
        <f>IF($A61="","",COUNTIF(Fluency!$A$2:$A$5000,$A61))</f>
        <v/>
      </c>
      <c r="I61">
        <f>IF($A61="","",Students!E61)</f>
        <v/>
      </c>
    </row>
    <row r="62">
      <c r="A62">
        <f>IF(Students!A62="","",Students!A62)</f>
        <v/>
      </c>
      <c r="B62">
        <f>IF($A62="","",Students!B62)</f>
        <v/>
      </c>
      <c r="C62">
        <f>IF($A62="","",Students!C62)</f>
        <v/>
      </c>
      <c r="D62">
        <f>IF($A62="","",IFERROR(COUNTIF(INDEX(Progress!$E$2:$BK$200,MATCH($A62,Progress!$A$2:$A$200,0),0),TRUE),0))</f>
        <v/>
      </c>
      <c r="E62">
        <f>IF($A62="","",COUNTIF(Log!$A$2:$A$5000,$A62))</f>
        <v/>
      </c>
      <c r="F62" s="10">
        <f>IF($A62="","",IF(E62=0,"",COUNTIFS(Log!$A$2:$A$5000,$A62,Log!$J$2:$J$5000,TRUE)/E62))</f>
        <v/>
      </c>
      <c r="G62">
        <f>IF($A62="","",SUMIF(Log!$A$2:$A$5000,$A62,Log!$H$2:$H$5000))</f>
        <v/>
      </c>
      <c r="H62">
        <f>IF($A62="","",COUNTIF(Fluency!$A$2:$A$5000,$A62))</f>
        <v/>
      </c>
      <c r="I62">
        <f>IF($A62="","",Students!E62)</f>
        <v/>
      </c>
    </row>
    <row r="63">
      <c r="A63">
        <f>IF(Students!A63="","",Students!A63)</f>
        <v/>
      </c>
      <c r="B63">
        <f>IF($A63="","",Students!B63)</f>
        <v/>
      </c>
      <c r="C63">
        <f>IF($A63="","",Students!C63)</f>
        <v/>
      </c>
      <c r="D63">
        <f>IF($A63="","",IFERROR(COUNTIF(INDEX(Progress!$E$2:$BK$200,MATCH($A63,Progress!$A$2:$A$200,0),0),TRUE),0))</f>
        <v/>
      </c>
      <c r="E63">
        <f>IF($A63="","",COUNTIF(Log!$A$2:$A$5000,$A63))</f>
        <v/>
      </c>
      <c r="F63" s="10">
        <f>IF($A63="","",IF(E63=0,"",COUNTIFS(Log!$A$2:$A$5000,$A63,Log!$J$2:$J$5000,TRUE)/E63))</f>
        <v/>
      </c>
      <c r="G63">
        <f>IF($A63="","",SUMIF(Log!$A$2:$A$5000,$A63,Log!$H$2:$H$5000))</f>
        <v/>
      </c>
      <c r="H63">
        <f>IF($A63="","",COUNTIF(Fluency!$A$2:$A$5000,$A63))</f>
        <v/>
      </c>
      <c r="I63">
        <f>IF($A63="","",Students!E63)</f>
        <v/>
      </c>
    </row>
    <row r="64">
      <c r="A64">
        <f>IF(Students!A64="","",Students!A64)</f>
        <v/>
      </c>
      <c r="B64">
        <f>IF($A64="","",Students!B64)</f>
        <v/>
      </c>
      <c r="C64">
        <f>IF($A64="","",Students!C64)</f>
        <v/>
      </c>
      <c r="D64">
        <f>IF($A64="","",IFERROR(COUNTIF(INDEX(Progress!$E$2:$BK$200,MATCH($A64,Progress!$A$2:$A$200,0),0),TRUE),0))</f>
        <v/>
      </c>
      <c r="E64">
        <f>IF($A64="","",COUNTIF(Log!$A$2:$A$5000,$A64))</f>
        <v/>
      </c>
      <c r="F64" s="10">
        <f>IF($A64="","",IF(E64=0,"",COUNTIFS(Log!$A$2:$A$5000,$A64,Log!$J$2:$J$5000,TRUE)/E64))</f>
        <v/>
      </c>
      <c r="G64">
        <f>IF($A64="","",SUMIF(Log!$A$2:$A$5000,$A64,Log!$H$2:$H$5000))</f>
        <v/>
      </c>
      <c r="H64">
        <f>IF($A64="","",COUNTIF(Fluency!$A$2:$A$5000,$A64))</f>
        <v/>
      </c>
      <c r="I64">
        <f>IF($A64="","",Students!E64)</f>
        <v/>
      </c>
    </row>
    <row r="65">
      <c r="A65">
        <f>IF(Students!A65="","",Students!A65)</f>
        <v/>
      </c>
      <c r="B65">
        <f>IF($A65="","",Students!B65)</f>
        <v/>
      </c>
      <c r="C65">
        <f>IF($A65="","",Students!C65)</f>
        <v/>
      </c>
      <c r="D65">
        <f>IF($A65="","",IFERROR(COUNTIF(INDEX(Progress!$E$2:$BK$200,MATCH($A65,Progress!$A$2:$A$200,0),0),TRUE),0))</f>
        <v/>
      </c>
      <c r="E65">
        <f>IF($A65="","",COUNTIF(Log!$A$2:$A$5000,$A65))</f>
        <v/>
      </c>
      <c r="F65" s="10">
        <f>IF($A65="","",IF(E65=0,"",COUNTIFS(Log!$A$2:$A$5000,$A65,Log!$J$2:$J$5000,TRUE)/E65))</f>
        <v/>
      </c>
      <c r="G65">
        <f>IF($A65="","",SUMIF(Log!$A$2:$A$5000,$A65,Log!$H$2:$H$5000))</f>
        <v/>
      </c>
      <c r="H65">
        <f>IF($A65="","",COUNTIF(Fluency!$A$2:$A$5000,$A65))</f>
        <v/>
      </c>
      <c r="I65">
        <f>IF($A65="","",Students!E65)</f>
        <v/>
      </c>
    </row>
    <row r="66">
      <c r="A66">
        <f>IF(Students!A66="","",Students!A66)</f>
        <v/>
      </c>
      <c r="B66">
        <f>IF($A66="","",Students!B66)</f>
        <v/>
      </c>
      <c r="C66">
        <f>IF($A66="","",Students!C66)</f>
        <v/>
      </c>
      <c r="D66">
        <f>IF($A66="","",IFERROR(COUNTIF(INDEX(Progress!$E$2:$BK$200,MATCH($A66,Progress!$A$2:$A$200,0),0),TRUE),0))</f>
        <v/>
      </c>
      <c r="E66">
        <f>IF($A66="","",COUNTIF(Log!$A$2:$A$5000,$A66))</f>
        <v/>
      </c>
      <c r="F66" s="10">
        <f>IF($A66="","",IF(E66=0,"",COUNTIFS(Log!$A$2:$A$5000,$A66,Log!$J$2:$J$5000,TRUE)/E66))</f>
        <v/>
      </c>
      <c r="G66">
        <f>IF($A66="","",SUMIF(Log!$A$2:$A$5000,$A66,Log!$H$2:$H$5000))</f>
        <v/>
      </c>
      <c r="H66">
        <f>IF($A66="","",COUNTIF(Fluency!$A$2:$A$5000,$A66))</f>
        <v/>
      </c>
      <c r="I66">
        <f>IF($A66="","",Students!E66)</f>
        <v/>
      </c>
    </row>
    <row r="67">
      <c r="A67">
        <f>IF(Students!A67="","",Students!A67)</f>
        <v/>
      </c>
      <c r="B67">
        <f>IF($A67="","",Students!B67)</f>
        <v/>
      </c>
      <c r="C67">
        <f>IF($A67="","",Students!C67)</f>
        <v/>
      </c>
      <c r="D67">
        <f>IF($A67="","",IFERROR(COUNTIF(INDEX(Progress!$E$2:$BK$200,MATCH($A67,Progress!$A$2:$A$200,0),0),TRUE),0))</f>
        <v/>
      </c>
      <c r="E67">
        <f>IF($A67="","",COUNTIF(Log!$A$2:$A$5000,$A67))</f>
        <v/>
      </c>
      <c r="F67" s="10">
        <f>IF($A67="","",IF(E67=0,"",COUNTIFS(Log!$A$2:$A$5000,$A67,Log!$J$2:$J$5000,TRUE)/E67))</f>
        <v/>
      </c>
      <c r="G67">
        <f>IF($A67="","",SUMIF(Log!$A$2:$A$5000,$A67,Log!$H$2:$H$5000))</f>
        <v/>
      </c>
      <c r="H67">
        <f>IF($A67="","",COUNTIF(Fluency!$A$2:$A$5000,$A67))</f>
        <v/>
      </c>
      <c r="I67">
        <f>IF($A67="","",Students!E67)</f>
        <v/>
      </c>
    </row>
    <row r="68">
      <c r="A68">
        <f>IF(Students!A68="","",Students!A68)</f>
        <v/>
      </c>
      <c r="B68">
        <f>IF($A68="","",Students!B68)</f>
        <v/>
      </c>
      <c r="C68">
        <f>IF($A68="","",Students!C68)</f>
        <v/>
      </c>
      <c r="D68">
        <f>IF($A68="","",IFERROR(COUNTIF(INDEX(Progress!$E$2:$BK$200,MATCH($A68,Progress!$A$2:$A$200,0),0),TRUE),0))</f>
        <v/>
      </c>
      <c r="E68">
        <f>IF($A68="","",COUNTIF(Log!$A$2:$A$5000,$A68))</f>
        <v/>
      </c>
      <c r="F68" s="10">
        <f>IF($A68="","",IF(E68=0,"",COUNTIFS(Log!$A$2:$A$5000,$A68,Log!$J$2:$J$5000,TRUE)/E68))</f>
        <v/>
      </c>
      <c r="G68">
        <f>IF($A68="","",SUMIF(Log!$A$2:$A$5000,$A68,Log!$H$2:$H$5000))</f>
        <v/>
      </c>
      <c r="H68">
        <f>IF($A68="","",COUNTIF(Fluency!$A$2:$A$5000,$A68))</f>
        <v/>
      </c>
      <c r="I68">
        <f>IF($A68="","",Students!E68)</f>
        <v/>
      </c>
    </row>
    <row r="69">
      <c r="A69">
        <f>IF(Students!A69="","",Students!A69)</f>
        <v/>
      </c>
      <c r="B69">
        <f>IF($A69="","",Students!B69)</f>
        <v/>
      </c>
      <c r="C69">
        <f>IF($A69="","",Students!C69)</f>
        <v/>
      </c>
      <c r="D69">
        <f>IF($A69="","",IFERROR(COUNTIF(INDEX(Progress!$E$2:$BK$200,MATCH($A69,Progress!$A$2:$A$200,0),0),TRUE),0))</f>
        <v/>
      </c>
      <c r="E69">
        <f>IF($A69="","",COUNTIF(Log!$A$2:$A$5000,$A69))</f>
        <v/>
      </c>
      <c r="F69" s="10">
        <f>IF($A69="","",IF(E69=0,"",COUNTIFS(Log!$A$2:$A$5000,$A69,Log!$J$2:$J$5000,TRUE)/E69))</f>
        <v/>
      </c>
      <c r="G69">
        <f>IF($A69="","",SUMIF(Log!$A$2:$A$5000,$A69,Log!$H$2:$H$5000))</f>
        <v/>
      </c>
      <c r="H69">
        <f>IF($A69="","",COUNTIF(Fluency!$A$2:$A$5000,$A69))</f>
        <v/>
      </c>
      <c r="I69">
        <f>IF($A69="","",Students!E69)</f>
        <v/>
      </c>
    </row>
    <row r="70">
      <c r="A70">
        <f>IF(Students!A70="","",Students!A70)</f>
        <v/>
      </c>
      <c r="B70">
        <f>IF($A70="","",Students!B70)</f>
        <v/>
      </c>
      <c r="C70">
        <f>IF($A70="","",Students!C70)</f>
        <v/>
      </c>
      <c r="D70">
        <f>IF($A70="","",IFERROR(COUNTIF(INDEX(Progress!$E$2:$BK$200,MATCH($A70,Progress!$A$2:$A$200,0),0),TRUE),0))</f>
        <v/>
      </c>
      <c r="E70">
        <f>IF($A70="","",COUNTIF(Log!$A$2:$A$5000,$A70))</f>
        <v/>
      </c>
      <c r="F70" s="10">
        <f>IF($A70="","",IF(E70=0,"",COUNTIFS(Log!$A$2:$A$5000,$A70,Log!$J$2:$J$5000,TRUE)/E70))</f>
        <v/>
      </c>
      <c r="G70">
        <f>IF($A70="","",SUMIF(Log!$A$2:$A$5000,$A70,Log!$H$2:$H$5000))</f>
        <v/>
      </c>
      <c r="H70">
        <f>IF($A70="","",COUNTIF(Fluency!$A$2:$A$5000,$A70))</f>
        <v/>
      </c>
      <c r="I70">
        <f>IF($A70="","",Students!E70)</f>
        <v/>
      </c>
    </row>
    <row r="71">
      <c r="A71">
        <f>IF(Students!A71="","",Students!A71)</f>
        <v/>
      </c>
      <c r="B71">
        <f>IF($A71="","",Students!B71)</f>
        <v/>
      </c>
      <c r="C71">
        <f>IF($A71="","",Students!C71)</f>
        <v/>
      </c>
      <c r="D71">
        <f>IF($A71="","",IFERROR(COUNTIF(INDEX(Progress!$E$2:$BK$200,MATCH($A71,Progress!$A$2:$A$200,0),0),TRUE),0))</f>
        <v/>
      </c>
      <c r="E71">
        <f>IF($A71="","",COUNTIF(Log!$A$2:$A$5000,$A71))</f>
        <v/>
      </c>
      <c r="F71" s="10">
        <f>IF($A71="","",IF(E71=0,"",COUNTIFS(Log!$A$2:$A$5000,$A71,Log!$J$2:$J$5000,TRUE)/E71))</f>
        <v/>
      </c>
      <c r="G71">
        <f>IF($A71="","",SUMIF(Log!$A$2:$A$5000,$A71,Log!$H$2:$H$5000))</f>
        <v/>
      </c>
      <c r="H71">
        <f>IF($A71="","",COUNTIF(Fluency!$A$2:$A$5000,$A71))</f>
        <v/>
      </c>
      <c r="I71">
        <f>IF($A71="","",Students!E71)</f>
        <v/>
      </c>
    </row>
    <row r="72">
      <c r="A72">
        <f>IF(Students!A72="","",Students!A72)</f>
        <v/>
      </c>
      <c r="B72">
        <f>IF($A72="","",Students!B72)</f>
        <v/>
      </c>
      <c r="C72">
        <f>IF($A72="","",Students!C72)</f>
        <v/>
      </c>
      <c r="D72">
        <f>IF($A72="","",IFERROR(COUNTIF(INDEX(Progress!$E$2:$BK$200,MATCH($A72,Progress!$A$2:$A$200,0),0),TRUE),0))</f>
        <v/>
      </c>
      <c r="E72">
        <f>IF($A72="","",COUNTIF(Log!$A$2:$A$5000,$A72))</f>
        <v/>
      </c>
      <c r="F72" s="10">
        <f>IF($A72="","",IF(E72=0,"",COUNTIFS(Log!$A$2:$A$5000,$A72,Log!$J$2:$J$5000,TRUE)/E72))</f>
        <v/>
      </c>
      <c r="G72">
        <f>IF($A72="","",SUMIF(Log!$A$2:$A$5000,$A72,Log!$H$2:$H$5000))</f>
        <v/>
      </c>
      <c r="H72">
        <f>IF($A72="","",COUNTIF(Fluency!$A$2:$A$5000,$A72))</f>
        <v/>
      </c>
      <c r="I72">
        <f>IF($A72="","",Students!E72)</f>
        <v/>
      </c>
    </row>
    <row r="73">
      <c r="A73">
        <f>IF(Students!A73="","",Students!A73)</f>
        <v/>
      </c>
      <c r="B73">
        <f>IF($A73="","",Students!B73)</f>
        <v/>
      </c>
      <c r="C73">
        <f>IF($A73="","",Students!C73)</f>
        <v/>
      </c>
      <c r="D73">
        <f>IF($A73="","",IFERROR(COUNTIF(INDEX(Progress!$E$2:$BK$200,MATCH($A73,Progress!$A$2:$A$200,0),0),TRUE),0))</f>
        <v/>
      </c>
      <c r="E73">
        <f>IF($A73="","",COUNTIF(Log!$A$2:$A$5000,$A73))</f>
        <v/>
      </c>
      <c r="F73" s="10">
        <f>IF($A73="","",IF(E73=0,"",COUNTIFS(Log!$A$2:$A$5000,$A73,Log!$J$2:$J$5000,TRUE)/E73))</f>
        <v/>
      </c>
      <c r="G73">
        <f>IF($A73="","",SUMIF(Log!$A$2:$A$5000,$A73,Log!$H$2:$H$5000))</f>
        <v/>
      </c>
      <c r="H73">
        <f>IF($A73="","",COUNTIF(Fluency!$A$2:$A$5000,$A73))</f>
        <v/>
      </c>
      <c r="I73">
        <f>IF($A73="","",Students!E73)</f>
        <v/>
      </c>
    </row>
    <row r="74">
      <c r="A74">
        <f>IF(Students!A74="","",Students!A74)</f>
        <v/>
      </c>
      <c r="B74">
        <f>IF($A74="","",Students!B74)</f>
        <v/>
      </c>
      <c r="C74">
        <f>IF($A74="","",Students!C74)</f>
        <v/>
      </c>
      <c r="D74">
        <f>IF($A74="","",IFERROR(COUNTIF(INDEX(Progress!$E$2:$BK$200,MATCH($A74,Progress!$A$2:$A$200,0),0),TRUE),0))</f>
        <v/>
      </c>
      <c r="E74">
        <f>IF($A74="","",COUNTIF(Log!$A$2:$A$5000,$A74))</f>
        <v/>
      </c>
      <c r="F74" s="10">
        <f>IF($A74="","",IF(E74=0,"",COUNTIFS(Log!$A$2:$A$5000,$A74,Log!$J$2:$J$5000,TRUE)/E74))</f>
        <v/>
      </c>
      <c r="G74">
        <f>IF($A74="","",SUMIF(Log!$A$2:$A$5000,$A74,Log!$H$2:$H$5000))</f>
        <v/>
      </c>
      <c r="H74">
        <f>IF($A74="","",COUNTIF(Fluency!$A$2:$A$5000,$A74))</f>
        <v/>
      </c>
      <c r="I74">
        <f>IF($A74="","",Students!E74)</f>
        <v/>
      </c>
    </row>
    <row r="75">
      <c r="A75">
        <f>IF(Students!A75="","",Students!A75)</f>
        <v/>
      </c>
      <c r="B75">
        <f>IF($A75="","",Students!B75)</f>
        <v/>
      </c>
      <c r="C75">
        <f>IF($A75="","",Students!C75)</f>
        <v/>
      </c>
      <c r="D75">
        <f>IF($A75="","",IFERROR(COUNTIF(INDEX(Progress!$E$2:$BK$200,MATCH($A75,Progress!$A$2:$A$200,0),0),TRUE),0))</f>
        <v/>
      </c>
      <c r="E75">
        <f>IF($A75="","",COUNTIF(Log!$A$2:$A$5000,$A75))</f>
        <v/>
      </c>
      <c r="F75" s="10">
        <f>IF($A75="","",IF(E75=0,"",COUNTIFS(Log!$A$2:$A$5000,$A75,Log!$J$2:$J$5000,TRUE)/E75))</f>
        <v/>
      </c>
      <c r="G75">
        <f>IF($A75="","",SUMIF(Log!$A$2:$A$5000,$A75,Log!$H$2:$H$5000))</f>
        <v/>
      </c>
      <c r="H75">
        <f>IF($A75="","",COUNTIF(Fluency!$A$2:$A$5000,$A75))</f>
        <v/>
      </c>
      <c r="I75">
        <f>IF($A75="","",Students!E75)</f>
        <v/>
      </c>
    </row>
    <row r="76">
      <c r="A76">
        <f>IF(Students!A76="","",Students!A76)</f>
        <v/>
      </c>
      <c r="B76">
        <f>IF($A76="","",Students!B76)</f>
        <v/>
      </c>
      <c r="C76">
        <f>IF($A76="","",Students!C76)</f>
        <v/>
      </c>
      <c r="D76">
        <f>IF($A76="","",IFERROR(COUNTIF(INDEX(Progress!$E$2:$BK$200,MATCH($A76,Progress!$A$2:$A$200,0),0),TRUE),0))</f>
        <v/>
      </c>
      <c r="E76">
        <f>IF($A76="","",COUNTIF(Log!$A$2:$A$5000,$A76))</f>
        <v/>
      </c>
      <c r="F76" s="10">
        <f>IF($A76="","",IF(E76=0,"",COUNTIFS(Log!$A$2:$A$5000,$A76,Log!$J$2:$J$5000,TRUE)/E76))</f>
        <v/>
      </c>
      <c r="G76">
        <f>IF($A76="","",SUMIF(Log!$A$2:$A$5000,$A76,Log!$H$2:$H$5000))</f>
        <v/>
      </c>
      <c r="H76">
        <f>IF($A76="","",COUNTIF(Fluency!$A$2:$A$5000,$A76))</f>
        <v/>
      </c>
      <c r="I76">
        <f>IF($A76="","",Students!E76)</f>
        <v/>
      </c>
    </row>
    <row r="77">
      <c r="A77">
        <f>IF(Students!A77="","",Students!A77)</f>
        <v/>
      </c>
      <c r="B77">
        <f>IF($A77="","",Students!B77)</f>
        <v/>
      </c>
      <c r="C77">
        <f>IF($A77="","",Students!C77)</f>
        <v/>
      </c>
      <c r="D77">
        <f>IF($A77="","",IFERROR(COUNTIF(INDEX(Progress!$E$2:$BK$200,MATCH($A77,Progress!$A$2:$A$200,0),0),TRUE),0))</f>
        <v/>
      </c>
      <c r="E77">
        <f>IF($A77="","",COUNTIF(Log!$A$2:$A$5000,$A77))</f>
        <v/>
      </c>
      <c r="F77" s="10">
        <f>IF($A77="","",IF(E77=0,"",COUNTIFS(Log!$A$2:$A$5000,$A77,Log!$J$2:$J$5000,TRUE)/E77))</f>
        <v/>
      </c>
      <c r="G77">
        <f>IF($A77="","",SUMIF(Log!$A$2:$A$5000,$A77,Log!$H$2:$H$5000))</f>
        <v/>
      </c>
      <c r="H77">
        <f>IF($A77="","",COUNTIF(Fluency!$A$2:$A$5000,$A77))</f>
        <v/>
      </c>
      <c r="I77">
        <f>IF($A77="","",Students!E77)</f>
        <v/>
      </c>
    </row>
    <row r="78">
      <c r="A78">
        <f>IF(Students!A78="","",Students!A78)</f>
        <v/>
      </c>
      <c r="B78">
        <f>IF($A78="","",Students!B78)</f>
        <v/>
      </c>
      <c r="C78">
        <f>IF($A78="","",Students!C78)</f>
        <v/>
      </c>
      <c r="D78">
        <f>IF($A78="","",IFERROR(COUNTIF(INDEX(Progress!$E$2:$BK$200,MATCH($A78,Progress!$A$2:$A$200,0),0),TRUE),0))</f>
        <v/>
      </c>
      <c r="E78">
        <f>IF($A78="","",COUNTIF(Log!$A$2:$A$5000,$A78))</f>
        <v/>
      </c>
      <c r="F78" s="10">
        <f>IF($A78="","",IF(E78=0,"",COUNTIFS(Log!$A$2:$A$5000,$A78,Log!$J$2:$J$5000,TRUE)/E78))</f>
        <v/>
      </c>
      <c r="G78">
        <f>IF($A78="","",SUMIF(Log!$A$2:$A$5000,$A78,Log!$H$2:$H$5000))</f>
        <v/>
      </c>
      <c r="H78">
        <f>IF($A78="","",COUNTIF(Fluency!$A$2:$A$5000,$A78))</f>
        <v/>
      </c>
      <c r="I78">
        <f>IF($A78="","",Students!E78)</f>
        <v/>
      </c>
    </row>
    <row r="79">
      <c r="A79">
        <f>IF(Students!A79="","",Students!A79)</f>
        <v/>
      </c>
      <c r="B79">
        <f>IF($A79="","",Students!B79)</f>
        <v/>
      </c>
      <c r="C79">
        <f>IF($A79="","",Students!C79)</f>
        <v/>
      </c>
      <c r="D79">
        <f>IF($A79="","",IFERROR(COUNTIF(INDEX(Progress!$E$2:$BK$200,MATCH($A79,Progress!$A$2:$A$200,0),0),TRUE),0))</f>
        <v/>
      </c>
      <c r="E79">
        <f>IF($A79="","",COUNTIF(Log!$A$2:$A$5000,$A79))</f>
        <v/>
      </c>
      <c r="F79" s="10">
        <f>IF($A79="","",IF(E79=0,"",COUNTIFS(Log!$A$2:$A$5000,$A79,Log!$J$2:$J$5000,TRUE)/E79))</f>
        <v/>
      </c>
      <c r="G79">
        <f>IF($A79="","",SUMIF(Log!$A$2:$A$5000,$A79,Log!$H$2:$H$5000))</f>
        <v/>
      </c>
      <c r="H79">
        <f>IF($A79="","",COUNTIF(Fluency!$A$2:$A$5000,$A79))</f>
        <v/>
      </c>
      <c r="I79">
        <f>IF($A79="","",Students!E79)</f>
        <v/>
      </c>
    </row>
    <row r="80">
      <c r="A80">
        <f>IF(Students!A80="","",Students!A80)</f>
        <v/>
      </c>
      <c r="B80">
        <f>IF($A80="","",Students!B80)</f>
        <v/>
      </c>
      <c r="C80">
        <f>IF($A80="","",Students!C80)</f>
        <v/>
      </c>
      <c r="D80">
        <f>IF($A80="","",IFERROR(COUNTIF(INDEX(Progress!$E$2:$BK$200,MATCH($A80,Progress!$A$2:$A$200,0),0),TRUE),0))</f>
        <v/>
      </c>
      <c r="E80">
        <f>IF($A80="","",COUNTIF(Log!$A$2:$A$5000,$A80))</f>
        <v/>
      </c>
      <c r="F80" s="10">
        <f>IF($A80="","",IF(E80=0,"",COUNTIFS(Log!$A$2:$A$5000,$A80,Log!$J$2:$J$5000,TRUE)/E80))</f>
        <v/>
      </c>
      <c r="G80">
        <f>IF($A80="","",SUMIF(Log!$A$2:$A$5000,$A80,Log!$H$2:$H$5000))</f>
        <v/>
      </c>
      <c r="H80">
        <f>IF($A80="","",COUNTIF(Fluency!$A$2:$A$5000,$A80))</f>
        <v/>
      </c>
      <c r="I80">
        <f>IF($A80="","",Students!E80)</f>
        <v/>
      </c>
    </row>
    <row r="81">
      <c r="A81">
        <f>IF(Students!A81="","",Students!A81)</f>
        <v/>
      </c>
      <c r="B81">
        <f>IF($A81="","",Students!B81)</f>
        <v/>
      </c>
      <c r="C81">
        <f>IF($A81="","",Students!C81)</f>
        <v/>
      </c>
      <c r="D81">
        <f>IF($A81="","",IFERROR(COUNTIF(INDEX(Progress!$E$2:$BK$200,MATCH($A81,Progress!$A$2:$A$200,0),0),TRUE),0))</f>
        <v/>
      </c>
      <c r="E81">
        <f>IF($A81="","",COUNTIF(Log!$A$2:$A$5000,$A81))</f>
        <v/>
      </c>
      <c r="F81" s="10">
        <f>IF($A81="","",IF(E81=0,"",COUNTIFS(Log!$A$2:$A$5000,$A81,Log!$J$2:$J$5000,TRUE)/E81))</f>
        <v/>
      </c>
      <c r="G81">
        <f>IF($A81="","",SUMIF(Log!$A$2:$A$5000,$A81,Log!$H$2:$H$5000))</f>
        <v/>
      </c>
      <c r="H81">
        <f>IF($A81="","",COUNTIF(Fluency!$A$2:$A$5000,$A81))</f>
        <v/>
      </c>
      <c r="I81">
        <f>IF($A81="","",Students!E81)</f>
        <v/>
      </c>
    </row>
    <row r="82">
      <c r="A82">
        <f>IF(Students!A82="","",Students!A82)</f>
        <v/>
      </c>
      <c r="B82">
        <f>IF($A82="","",Students!B82)</f>
        <v/>
      </c>
      <c r="C82">
        <f>IF($A82="","",Students!C82)</f>
        <v/>
      </c>
      <c r="D82">
        <f>IF($A82="","",IFERROR(COUNTIF(INDEX(Progress!$E$2:$BK$200,MATCH($A82,Progress!$A$2:$A$200,0),0),TRUE),0))</f>
        <v/>
      </c>
      <c r="E82">
        <f>IF($A82="","",COUNTIF(Log!$A$2:$A$5000,$A82))</f>
        <v/>
      </c>
      <c r="F82" s="10">
        <f>IF($A82="","",IF(E82=0,"",COUNTIFS(Log!$A$2:$A$5000,$A82,Log!$J$2:$J$5000,TRUE)/E82))</f>
        <v/>
      </c>
      <c r="G82">
        <f>IF($A82="","",SUMIF(Log!$A$2:$A$5000,$A82,Log!$H$2:$H$5000))</f>
        <v/>
      </c>
      <c r="H82">
        <f>IF($A82="","",COUNTIF(Fluency!$A$2:$A$5000,$A82))</f>
        <v/>
      </c>
      <c r="I82">
        <f>IF($A82="","",Students!E82)</f>
        <v/>
      </c>
    </row>
    <row r="83">
      <c r="A83">
        <f>IF(Students!A83="","",Students!A83)</f>
        <v/>
      </c>
      <c r="B83">
        <f>IF($A83="","",Students!B83)</f>
        <v/>
      </c>
      <c r="C83">
        <f>IF($A83="","",Students!C83)</f>
        <v/>
      </c>
      <c r="D83">
        <f>IF($A83="","",IFERROR(COUNTIF(INDEX(Progress!$E$2:$BK$200,MATCH($A83,Progress!$A$2:$A$200,0),0),TRUE),0))</f>
        <v/>
      </c>
      <c r="E83">
        <f>IF($A83="","",COUNTIF(Log!$A$2:$A$5000,$A83))</f>
        <v/>
      </c>
      <c r="F83" s="10">
        <f>IF($A83="","",IF(E83=0,"",COUNTIFS(Log!$A$2:$A$5000,$A83,Log!$J$2:$J$5000,TRUE)/E83))</f>
        <v/>
      </c>
      <c r="G83">
        <f>IF($A83="","",SUMIF(Log!$A$2:$A$5000,$A83,Log!$H$2:$H$5000))</f>
        <v/>
      </c>
      <c r="H83">
        <f>IF($A83="","",COUNTIF(Fluency!$A$2:$A$5000,$A83))</f>
        <v/>
      </c>
      <c r="I83">
        <f>IF($A83="","",Students!E83)</f>
        <v/>
      </c>
    </row>
    <row r="84">
      <c r="A84">
        <f>IF(Students!A84="","",Students!A84)</f>
        <v/>
      </c>
      <c r="B84">
        <f>IF($A84="","",Students!B84)</f>
        <v/>
      </c>
      <c r="C84">
        <f>IF($A84="","",Students!C84)</f>
        <v/>
      </c>
      <c r="D84">
        <f>IF($A84="","",IFERROR(COUNTIF(INDEX(Progress!$E$2:$BK$200,MATCH($A84,Progress!$A$2:$A$200,0),0),TRUE),0))</f>
        <v/>
      </c>
      <c r="E84">
        <f>IF($A84="","",COUNTIF(Log!$A$2:$A$5000,$A84))</f>
        <v/>
      </c>
      <c r="F84" s="10">
        <f>IF($A84="","",IF(E84=0,"",COUNTIFS(Log!$A$2:$A$5000,$A84,Log!$J$2:$J$5000,TRUE)/E84))</f>
        <v/>
      </c>
      <c r="G84">
        <f>IF($A84="","",SUMIF(Log!$A$2:$A$5000,$A84,Log!$H$2:$H$5000))</f>
        <v/>
      </c>
      <c r="H84">
        <f>IF($A84="","",COUNTIF(Fluency!$A$2:$A$5000,$A84))</f>
        <v/>
      </c>
      <c r="I84">
        <f>IF($A84="","",Students!E84)</f>
        <v/>
      </c>
    </row>
    <row r="85">
      <c r="A85">
        <f>IF(Students!A85="","",Students!A85)</f>
        <v/>
      </c>
      <c r="B85">
        <f>IF($A85="","",Students!B85)</f>
        <v/>
      </c>
      <c r="C85">
        <f>IF($A85="","",Students!C85)</f>
        <v/>
      </c>
      <c r="D85">
        <f>IF($A85="","",IFERROR(COUNTIF(INDEX(Progress!$E$2:$BK$200,MATCH($A85,Progress!$A$2:$A$200,0),0),TRUE),0))</f>
        <v/>
      </c>
      <c r="E85">
        <f>IF($A85="","",COUNTIF(Log!$A$2:$A$5000,$A85))</f>
        <v/>
      </c>
      <c r="F85" s="10">
        <f>IF($A85="","",IF(E85=0,"",COUNTIFS(Log!$A$2:$A$5000,$A85,Log!$J$2:$J$5000,TRUE)/E85))</f>
        <v/>
      </c>
      <c r="G85">
        <f>IF($A85="","",SUMIF(Log!$A$2:$A$5000,$A85,Log!$H$2:$H$5000))</f>
        <v/>
      </c>
      <c r="H85">
        <f>IF($A85="","",COUNTIF(Fluency!$A$2:$A$5000,$A85))</f>
        <v/>
      </c>
      <c r="I85">
        <f>IF($A85="","",Students!E85)</f>
        <v/>
      </c>
    </row>
    <row r="86">
      <c r="A86">
        <f>IF(Students!A86="","",Students!A86)</f>
        <v/>
      </c>
      <c r="B86">
        <f>IF($A86="","",Students!B86)</f>
        <v/>
      </c>
      <c r="C86">
        <f>IF($A86="","",Students!C86)</f>
        <v/>
      </c>
      <c r="D86">
        <f>IF($A86="","",IFERROR(COUNTIF(INDEX(Progress!$E$2:$BK$200,MATCH($A86,Progress!$A$2:$A$200,0),0),TRUE),0))</f>
        <v/>
      </c>
      <c r="E86">
        <f>IF($A86="","",COUNTIF(Log!$A$2:$A$5000,$A86))</f>
        <v/>
      </c>
      <c r="F86" s="10">
        <f>IF($A86="","",IF(E86=0,"",COUNTIFS(Log!$A$2:$A$5000,$A86,Log!$J$2:$J$5000,TRUE)/E86))</f>
        <v/>
      </c>
      <c r="G86">
        <f>IF($A86="","",SUMIF(Log!$A$2:$A$5000,$A86,Log!$H$2:$H$5000))</f>
        <v/>
      </c>
      <c r="H86">
        <f>IF($A86="","",COUNTIF(Fluency!$A$2:$A$5000,$A86))</f>
        <v/>
      </c>
      <c r="I86">
        <f>IF($A86="","",Students!E86)</f>
        <v/>
      </c>
    </row>
    <row r="87">
      <c r="A87">
        <f>IF(Students!A87="","",Students!A87)</f>
        <v/>
      </c>
      <c r="B87">
        <f>IF($A87="","",Students!B87)</f>
        <v/>
      </c>
      <c r="C87">
        <f>IF($A87="","",Students!C87)</f>
        <v/>
      </c>
      <c r="D87">
        <f>IF($A87="","",IFERROR(COUNTIF(INDEX(Progress!$E$2:$BK$200,MATCH($A87,Progress!$A$2:$A$200,0),0),TRUE),0))</f>
        <v/>
      </c>
      <c r="E87">
        <f>IF($A87="","",COUNTIF(Log!$A$2:$A$5000,$A87))</f>
        <v/>
      </c>
      <c r="F87" s="10">
        <f>IF($A87="","",IF(E87=0,"",COUNTIFS(Log!$A$2:$A$5000,$A87,Log!$J$2:$J$5000,TRUE)/E87))</f>
        <v/>
      </c>
      <c r="G87">
        <f>IF($A87="","",SUMIF(Log!$A$2:$A$5000,$A87,Log!$H$2:$H$5000))</f>
        <v/>
      </c>
      <c r="H87">
        <f>IF($A87="","",COUNTIF(Fluency!$A$2:$A$5000,$A87))</f>
        <v/>
      </c>
      <c r="I87">
        <f>IF($A87="","",Students!E87)</f>
        <v/>
      </c>
    </row>
    <row r="88">
      <c r="A88">
        <f>IF(Students!A88="","",Students!A88)</f>
        <v/>
      </c>
      <c r="B88">
        <f>IF($A88="","",Students!B88)</f>
        <v/>
      </c>
      <c r="C88">
        <f>IF($A88="","",Students!C88)</f>
        <v/>
      </c>
      <c r="D88">
        <f>IF($A88="","",IFERROR(COUNTIF(INDEX(Progress!$E$2:$BK$200,MATCH($A88,Progress!$A$2:$A$200,0),0),TRUE),0))</f>
        <v/>
      </c>
      <c r="E88">
        <f>IF($A88="","",COUNTIF(Log!$A$2:$A$5000,$A88))</f>
        <v/>
      </c>
      <c r="F88" s="10">
        <f>IF($A88="","",IF(E88=0,"",COUNTIFS(Log!$A$2:$A$5000,$A88,Log!$J$2:$J$5000,TRUE)/E88))</f>
        <v/>
      </c>
      <c r="G88">
        <f>IF($A88="","",SUMIF(Log!$A$2:$A$5000,$A88,Log!$H$2:$H$5000))</f>
        <v/>
      </c>
      <c r="H88">
        <f>IF($A88="","",COUNTIF(Fluency!$A$2:$A$5000,$A88))</f>
        <v/>
      </c>
      <c r="I88">
        <f>IF($A88="","",Students!E88)</f>
        <v/>
      </c>
    </row>
    <row r="89">
      <c r="A89">
        <f>IF(Students!A89="","",Students!A89)</f>
        <v/>
      </c>
      <c r="B89">
        <f>IF($A89="","",Students!B89)</f>
        <v/>
      </c>
      <c r="C89">
        <f>IF($A89="","",Students!C89)</f>
        <v/>
      </c>
      <c r="D89">
        <f>IF($A89="","",IFERROR(COUNTIF(INDEX(Progress!$E$2:$BK$200,MATCH($A89,Progress!$A$2:$A$200,0),0),TRUE),0))</f>
        <v/>
      </c>
      <c r="E89">
        <f>IF($A89="","",COUNTIF(Log!$A$2:$A$5000,$A89))</f>
        <v/>
      </c>
      <c r="F89" s="10">
        <f>IF($A89="","",IF(E89=0,"",COUNTIFS(Log!$A$2:$A$5000,$A89,Log!$J$2:$J$5000,TRUE)/E89))</f>
        <v/>
      </c>
      <c r="G89">
        <f>IF($A89="","",SUMIF(Log!$A$2:$A$5000,$A89,Log!$H$2:$H$5000))</f>
        <v/>
      </c>
      <c r="H89">
        <f>IF($A89="","",COUNTIF(Fluency!$A$2:$A$5000,$A89))</f>
        <v/>
      </c>
      <c r="I89">
        <f>IF($A89="","",Students!E89)</f>
        <v/>
      </c>
    </row>
    <row r="90">
      <c r="A90">
        <f>IF(Students!A90="","",Students!A90)</f>
        <v/>
      </c>
      <c r="B90">
        <f>IF($A90="","",Students!B90)</f>
        <v/>
      </c>
      <c r="C90">
        <f>IF($A90="","",Students!C90)</f>
        <v/>
      </c>
      <c r="D90">
        <f>IF($A90="","",IFERROR(COUNTIF(INDEX(Progress!$E$2:$BK$200,MATCH($A90,Progress!$A$2:$A$200,0),0),TRUE),0))</f>
        <v/>
      </c>
      <c r="E90">
        <f>IF($A90="","",COUNTIF(Log!$A$2:$A$5000,$A90))</f>
        <v/>
      </c>
      <c r="F90" s="10">
        <f>IF($A90="","",IF(E90=0,"",COUNTIFS(Log!$A$2:$A$5000,$A90,Log!$J$2:$J$5000,TRUE)/E90))</f>
        <v/>
      </c>
      <c r="G90">
        <f>IF($A90="","",SUMIF(Log!$A$2:$A$5000,$A90,Log!$H$2:$H$5000))</f>
        <v/>
      </c>
      <c r="H90">
        <f>IF($A90="","",COUNTIF(Fluency!$A$2:$A$5000,$A90))</f>
        <v/>
      </c>
      <c r="I90">
        <f>IF($A90="","",Students!E90)</f>
        <v/>
      </c>
    </row>
    <row r="91">
      <c r="A91">
        <f>IF(Students!A91="","",Students!A91)</f>
        <v/>
      </c>
      <c r="B91">
        <f>IF($A91="","",Students!B91)</f>
        <v/>
      </c>
      <c r="C91">
        <f>IF($A91="","",Students!C91)</f>
        <v/>
      </c>
      <c r="D91">
        <f>IF($A91="","",IFERROR(COUNTIF(INDEX(Progress!$E$2:$BK$200,MATCH($A91,Progress!$A$2:$A$200,0),0),TRUE),0))</f>
        <v/>
      </c>
      <c r="E91">
        <f>IF($A91="","",COUNTIF(Log!$A$2:$A$5000,$A91))</f>
        <v/>
      </c>
      <c r="F91" s="10">
        <f>IF($A91="","",IF(E91=0,"",COUNTIFS(Log!$A$2:$A$5000,$A91,Log!$J$2:$J$5000,TRUE)/E91))</f>
        <v/>
      </c>
      <c r="G91">
        <f>IF($A91="","",SUMIF(Log!$A$2:$A$5000,$A91,Log!$H$2:$H$5000))</f>
        <v/>
      </c>
      <c r="H91">
        <f>IF($A91="","",COUNTIF(Fluency!$A$2:$A$5000,$A91))</f>
        <v/>
      </c>
      <c r="I91">
        <f>IF($A91="","",Students!E91)</f>
        <v/>
      </c>
    </row>
    <row r="92">
      <c r="A92">
        <f>IF(Students!A92="","",Students!A92)</f>
        <v/>
      </c>
      <c r="B92">
        <f>IF($A92="","",Students!B92)</f>
        <v/>
      </c>
      <c r="C92">
        <f>IF($A92="","",Students!C92)</f>
        <v/>
      </c>
      <c r="D92">
        <f>IF($A92="","",IFERROR(COUNTIF(INDEX(Progress!$E$2:$BK$200,MATCH($A92,Progress!$A$2:$A$200,0),0),TRUE),0))</f>
        <v/>
      </c>
      <c r="E92">
        <f>IF($A92="","",COUNTIF(Log!$A$2:$A$5000,$A92))</f>
        <v/>
      </c>
      <c r="F92" s="10">
        <f>IF($A92="","",IF(E92=0,"",COUNTIFS(Log!$A$2:$A$5000,$A92,Log!$J$2:$J$5000,TRUE)/E92))</f>
        <v/>
      </c>
      <c r="G92">
        <f>IF($A92="","",SUMIF(Log!$A$2:$A$5000,$A92,Log!$H$2:$H$5000))</f>
        <v/>
      </c>
      <c r="H92">
        <f>IF($A92="","",COUNTIF(Fluency!$A$2:$A$5000,$A92))</f>
        <v/>
      </c>
      <c r="I92">
        <f>IF($A92="","",Students!E92)</f>
        <v/>
      </c>
    </row>
    <row r="93">
      <c r="A93">
        <f>IF(Students!A93="","",Students!A93)</f>
        <v/>
      </c>
      <c r="B93">
        <f>IF($A93="","",Students!B93)</f>
        <v/>
      </c>
      <c r="C93">
        <f>IF($A93="","",Students!C93)</f>
        <v/>
      </c>
      <c r="D93">
        <f>IF($A93="","",IFERROR(COUNTIF(INDEX(Progress!$E$2:$BK$200,MATCH($A93,Progress!$A$2:$A$200,0),0),TRUE),0))</f>
        <v/>
      </c>
      <c r="E93">
        <f>IF($A93="","",COUNTIF(Log!$A$2:$A$5000,$A93))</f>
        <v/>
      </c>
      <c r="F93" s="10">
        <f>IF($A93="","",IF(E93=0,"",COUNTIFS(Log!$A$2:$A$5000,$A93,Log!$J$2:$J$5000,TRUE)/E93))</f>
        <v/>
      </c>
      <c r="G93">
        <f>IF($A93="","",SUMIF(Log!$A$2:$A$5000,$A93,Log!$H$2:$H$5000))</f>
        <v/>
      </c>
      <c r="H93">
        <f>IF($A93="","",COUNTIF(Fluency!$A$2:$A$5000,$A93))</f>
        <v/>
      </c>
      <c r="I93">
        <f>IF($A93="","",Students!E93)</f>
        <v/>
      </c>
    </row>
    <row r="94">
      <c r="A94">
        <f>IF(Students!A94="","",Students!A94)</f>
        <v/>
      </c>
      <c r="B94">
        <f>IF($A94="","",Students!B94)</f>
        <v/>
      </c>
      <c r="C94">
        <f>IF($A94="","",Students!C94)</f>
        <v/>
      </c>
      <c r="D94">
        <f>IF($A94="","",IFERROR(COUNTIF(INDEX(Progress!$E$2:$BK$200,MATCH($A94,Progress!$A$2:$A$200,0),0),TRUE),0))</f>
        <v/>
      </c>
      <c r="E94">
        <f>IF($A94="","",COUNTIF(Log!$A$2:$A$5000,$A94))</f>
        <v/>
      </c>
      <c r="F94" s="10">
        <f>IF($A94="","",IF(E94=0,"",COUNTIFS(Log!$A$2:$A$5000,$A94,Log!$J$2:$J$5000,TRUE)/E94))</f>
        <v/>
      </c>
      <c r="G94">
        <f>IF($A94="","",SUMIF(Log!$A$2:$A$5000,$A94,Log!$H$2:$H$5000))</f>
        <v/>
      </c>
      <c r="H94">
        <f>IF($A94="","",COUNTIF(Fluency!$A$2:$A$5000,$A94))</f>
        <v/>
      </c>
      <c r="I94">
        <f>IF($A94="","",Students!E94)</f>
        <v/>
      </c>
    </row>
    <row r="95">
      <c r="A95">
        <f>IF(Students!A95="","",Students!A95)</f>
        <v/>
      </c>
      <c r="B95">
        <f>IF($A95="","",Students!B95)</f>
        <v/>
      </c>
      <c r="C95">
        <f>IF($A95="","",Students!C95)</f>
        <v/>
      </c>
      <c r="D95">
        <f>IF($A95="","",IFERROR(COUNTIF(INDEX(Progress!$E$2:$BK$200,MATCH($A95,Progress!$A$2:$A$200,0),0),TRUE),0))</f>
        <v/>
      </c>
      <c r="E95">
        <f>IF($A95="","",COUNTIF(Log!$A$2:$A$5000,$A95))</f>
        <v/>
      </c>
      <c r="F95" s="10">
        <f>IF($A95="","",IF(E95=0,"",COUNTIFS(Log!$A$2:$A$5000,$A95,Log!$J$2:$J$5000,TRUE)/E95))</f>
        <v/>
      </c>
      <c r="G95">
        <f>IF($A95="","",SUMIF(Log!$A$2:$A$5000,$A95,Log!$H$2:$H$5000))</f>
        <v/>
      </c>
      <c r="H95">
        <f>IF($A95="","",COUNTIF(Fluency!$A$2:$A$5000,$A95))</f>
        <v/>
      </c>
      <c r="I95">
        <f>IF($A95="","",Students!E95)</f>
        <v/>
      </c>
    </row>
    <row r="96">
      <c r="A96">
        <f>IF(Students!A96="","",Students!A96)</f>
        <v/>
      </c>
      <c r="B96">
        <f>IF($A96="","",Students!B96)</f>
        <v/>
      </c>
      <c r="C96">
        <f>IF($A96="","",Students!C96)</f>
        <v/>
      </c>
      <c r="D96">
        <f>IF($A96="","",IFERROR(COUNTIF(INDEX(Progress!$E$2:$BK$200,MATCH($A96,Progress!$A$2:$A$200,0),0),TRUE),0))</f>
        <v/>
      </c>
      <c r="E96">
        <f>IF($A96="","",COUNTIF(Log!$A$2:$A$5000,$A96))</f>
        <v/>
      </c>
      <c r="F96" s="10">
        <f>IF($A96="","",IF(E96=0,"",COUNTIFS(Log!$A$2:$A$5000,$A96,Log!$J$2:$J$5000,TRUE)/E96))</f>
        <v/>
      </c>
      <c r="G96">
        <f>IF($A96="","",SUMIF(Log!$A$2:$A$5000,$A96,Log!$H$2:$H$5000))</f>
        <v/>
      </c>
      <c r="H96">
        <f>IF($A96="","",COUNTIF(Fluency!$A$2:$A$5000,$A96))</f>
        <v/>
      </c>
      <c r="I96">
        <f>IF($A96="","",Students!E96)</f>
        <v/>
      </c>
    </row>
    <row r="97">
      <c r="A97">
        <f>IF(Students!A97="","",Students!A97)</f>
        <v/>
      </c>
      <c r="B97">
        <f>IF($A97="","",Students!B97)</f>
        <v/>
      </c>
      <c r="C97">
        <f>IF($A97="","",Students!C97)</f>
        <v/>
      </c>
      <c r="D97">
        <f>IF($A97="","",IFERROR(COUNTIF(INDEX(Progress!$E$2:$BK$200,MATCH($A97,Progress!$A$2:$A$200,0),0),TRUE),0))</f>
        <v/>
      </c>
      <c r="E97">
        <f>IF($A97="","",COUNTIF(Log!$A$2:$A$5000,$A97))</f>
        <v/>
      </c>
      <c r="F97" s="10">
        <f>IF($A97="","",IF(E97=0,"",COUNTIFS(Log!$A$2:$A$5000,$A97,Log!$J$2:$J$5000,TRUE)/E97))</f>
        <v/>
      </c>
      <c r="G97">
        <f>IF($A97="","",SUMIF(Log!$A$2:$A$5000,$A97,Log!$H$2:$H$5000))</f>
        <v/>
      </c>
      <c r="H97">
        <f>IF($A97="","",COUNTIF(Fluency!$A$2:$A$5000,$A97))</f>
        <v/>
      </c>
      <c r="I97">
        <f>IF($A97="","",Students!E97)</f>
        <v/>
      </c>
    </row>
    <row r="98">
      <c r="A98">
        <f>IF(Students!A98="","",Students!A98)</f>
        <v/>
      </c>
      <c r="B98">
        <f>IF($A98="","",Students!B98)</f>
        <v/>
      </c>
      <c r="C98">
        <f>IF($A98="","",Students!C98)</f>
        <v/>
      </c>
      <c r="D98">
        <f>IF($A98="","",IFERROR(COUNTIF(INDEX(Progress!$E$2:$BK$200,MATCH($A98,Progress!$A$2:$A$200,0),0),TRUE),0))</f>
        <v/>
      </c>
      <c r="E98">
        <f>IF($A98="","",COUNTIF(Log!$A$2:$A$5000,$A98))</f>
        <v/>
      </c>
      <c r="F98" s="10">
        <f>IF($A98="","",IF(E98=0,"",COUNTIFS(Log!$A$2:$A$5000,$A98,Log!$J$2:$J$5000,TRUE)/E98))</f>
        <v/>
      </c>
      <c r="G98">
        <f>IF($A98="","",SUMIF(Log!$A$2:$A$5000,$A98,Log!$H$2:$H$5000))</f>
        <v/>
      </c>
      <c r="H98">
        <f>IF($A98="","",COUNTIF(Fluency!$A$2:$A$5000,$A98))</f>
        <v/>
      </c>
      <c r="I98">
        <f>IF($A98="","",Students!E98)</f>
        <v/>
      </c>
    </row>
    <row r="99">
      <c r="A99">
        <f>IF(Students!A99="","",Students!A99)</f>
        <v/>
      </c>
      <c r="B99">
        <f>IF($A99="","",Students!B99)</f>
        <v/>
      </c>
      <c r="C99">
        <f>IF($A99="","",Students!C99)</f>
        <v/>
      </c>
      <c r="D99">
        <f>IF($A99="","",IFERROR(COUNTIF(INDEX(Progress!$E$2:$BK$200,MATCH($A99,Progress!$A$2:$A$200,0),0),TRUE),0))</f>
        <v/>
      </c>
      <c r="E99">
        <f>IF($A99="","",COUNTIF(Log!$A$2:$A$5000,$A99))</f>
        <v/>
      </c>
      <c r="F99" s="10">
        <f>IF($A99="","",IF(E99=0,"",COUNTIFS(Log!$A$2:$A$5000,$A99,Log!$J$2:$J$5000,TRUE)/E99))</f>
        <v/>
      </c>
      <c r="G99">
        <f>IF($A99="","",SUMIF(Log!$A$2:$A$5000,$A99,Log!$H$2:$H$5000))</f>
        <v/>
      </c>
      <c r="H99">
        <f>IF($A99="","",COUNTIF(Fluency!$A$2:$A$5000,$A99))</f>
        <v/>
      </c>
      <c r="I99">
        <f>IF($A99="","",Students!E99)</f>
        <v/>
      </c>
    </row>
    <row r="100">
      <c r="A100">
        <f>IF(Students!A100="","",Students!A100)</f>
        <v/>
      </c>
      <c r="B100">
        <f>IF($A100="","",Students!B100)</f>
        <v/>
      </c>
      <c r="C100">
        <f>IF($A100="","",Students!C100)</f>
        <v/>
      </c>
      <c r="D100">
        <f>IF($A100="","",IFERROR(COUNTIF(INDEX(Progress!$E$2:$BK$200,MATCH($A100,Progress!$A$2:$A$200,0),0),TRUE),0))</f>
        <v/>
      </c>
      <c r="E100">
        <f>IF($A100="","",COUNTIF(Log!$A$2:$A$5000,$A100))</f>
        <v/>
      </c>
      <c r="F100" s="10">
        <f>IF($A100="","",IF(E100=0,"",COUNTIFS(Log!$A$2:$A$5000,$A100,Log!$J$2:$J$5000,TRUE)/E100))</f>
        <v/>
      </c>
      <c r="G100">
        <f>IF($A100="","",SUMIF(Log!$A$2:$A$5000,$A100,Log!$H$2:$H$5000))</f>
        <v/>
      </c>
      <c r="H100">
        <f>IF($A100="","",COUNTIF(Fluency!$A$2:$A$5000,$A100))</f>
        <v/>
      </c>
      <c r="I100">
        <f>IF($A100="","",Students!E100)</f>
        <v/>
      </c>
    </row>
    <row r="101">
      <c r="A101">
        <f>IF(Students!A101="","",Students!A101)</f>
        <v/>
      </c>
      <c r="B101">
        <f>IF($A101="","",Students!B101)</f>
        <v/>
      </c>
      <c r="C101">
        <f>IF($A101="","",Students!C101)</f>
        <v/>
      </c>
      <c r="D101">
        <f>IF($A101="","",IFERROR(COUNTIF(INDEX(Progress!$E$2:$BK$200,MATCH($A101,Progress!$A$2:$A$200,0),0),TRUE),0))</f>
        <v/>
      </c>
      <c r="E101">
        <f>IF($A101="","",COUNTIF(Log!$A$2:$A$5000,$A101))</f>
        <v/>
      </c>
      <c r="F101" s="10">
        <f>IF($A101="","",IF(E101=0,"",COUNTIFS(Log!$A$2:$A$5000,$A101,Log!$J$2:$J$5000,TRUE)/E101))</f>
        <v/>
      </c>
      <c r="G101">
        <f>IF($A101="","",SUMIF(Log!$A$2:$A$5000,$A101,Log!$H$2:$H$5000))</f>
        <v/>
      </c>
      <c r="H101">
        <f>IF($A101="","",COUNTIF(Fluency!$A$2:$A$5000,$A101))</f>
        <v/>
      </c>
      <c r="I101">
        <f>IF($A101="","",Students!E101)</f>
        <v/>
      </c>
    </row>
    <row r="102">
      <c r="A102">
        <f>IF(Students!A102="","",Students!A102)</f>
        <v/>
      </c>
      <c r="B102">
        <f>IF($A102="","",Students!B102)</f>
        <v/>
      </c>
      <c r="C102">
        <f>IF($A102="","",Students!C102)</f>
        <v/>
      </c>
      <c r="D102">
        <f>IF($A102="","",IFERROR(COUNTIF(INDEX(Progress!$E$2:$BK$200,MATCH($A102,Progress!$A$2:$A$200,0),0),TRUE),0))</f>
        <v/>
      </c>
      <c r="E102">
        <f>IF($A102="","",COUNTIF(Log!$A$2:$A$5000,$A102))</f>
        <v/>
      </c>
      <c r="F102" s="10">
        <f>IF($A102="","",IF(E102=0,"",COUNTIFS(Log!$A$2:$A$5000,$A102,Log!$J$2:$J$5000,TRUE)/E102))</f>
        <v/>
      </c>
      <c r="G102">
        <f>IF($A102="","",SUMIF(Log!$A$2:$A$5000,$A102,Log!$H$2:$H$5000))</f>
        <v/>
      </c>
      <c r="H102">
        <f>IF($A102="","",COUNTIF(Fluency!$A$2:$A$5000,$A102))</f>
        <v/>
      </c>
      <c r="I102">
        <f>IF($A102="","",Students!E102)</f>
        <v/>
      </c>
    </row>
    <row r="103">
      <c r="A103">
        <f>IF(Students!A103="","",Students!A103)</f>
        <v/>
      </c>
      <c r="B103">
        <f>IF($A103="","",Students!B103)</f>
        <v/>
      </c>
      <c r="C103">
        <f>IF($A103="","",Students!C103)</f>
        <v/>
      </c>
      <c r="D103">
        <f>IF($A103="","",IFERROR(COUNTIF(INDEX(Progress!$E$2:$BK$200,MATCH($A103,Progress!$A$2:$A$200,0),0),TRUE),0))</f>
        <v/>
      </c>
      <c r="E103">
        <f>IF($A103="","",COUNTIF(Log!$A$2:$A$5000,$A103))</f>
        <v/>
      </c>
      <c r="F103" s="10">
        <f>IF($A103="","",IF(E103=0,"",COUNTIFS(Log!$A$2:$A$5000,$A103,Log!$J$2:$J$5000,TRUE)/E103))</f>
        <v/>
      </c>
      <c r="G103">
        <f>IF($A103="","",SUMIF(Log!$A$2:$A$5000,$A103,Log!$H$2:$H$5000))</f>
        <v/>
      </c>
      <c r="H103">
        <f>IF($A103="","",COUNTIF(Fluency!$A$2:$A$5000,$A103))</f>
        <v/>
      </c>
      <c r="I103">
        <f>IF($A103="","",Students!E103)</f>
        <v/>
      </c>
    </row>
    <row r="104">
      <c r="A104">
        <f>IF(Students!A104="","",Students!A104)</f>
        <v/>
      </c>
      <c r="B104">
        <f>IF($A104="","",Students!B104)</f>
        <v/>
      </c>
      <c r="C104">
        <f>IF($A104="","",Students!C104)</f>
        <v/>
      </c>
      <c r="D104">
        <f>IF($A104="","",IFERROR(COUNTIF(INDEX(Progress!$E$2:$BK$200,MATCH($A104,Progress!$A$2:$A$200,0),0),TRUE),0))</f>
        <v/>
      </c>
      <c r="E104">
        <f>IF($A104="","",COUNTIF(Log!$A$2:$A$5000,$A104))</f>
        <v/>
      </c>
      <c r="F104" s="10">
        <f>IF($A104="","",IF(E104=0,"",COUNTIFS(Log!$A$2:$A$5000,$A104,Log!$J$2:$J$5000,TRUE)/E104))</f>
        <v/>
      </c>
      <c r="G104">
        <f>IF($A104="","",SUMIF(Log!$A$2:$A$5000,$A104,Log!$H$2:$H$5000))</f>
        <v/>
      </c>
      <c r="H104">
        <f>IF($A104="","",COUNTIF(Fluency!$A$2:$A$5000,$A104))</f>
        <v/>
      </c>
      <c r="I104">
        <f>IF($A104="","",Students!E104)</f>
        <v/>
      </c>
    </row>
    <row r="105">
      <c r="A105">
        <f>IF(Students!A105="","",Students!A105)</f>
        <v/>
      </c>
      <c r="B105">
        <f>IF($A105="","",Students!B105)</f>
        <v/>
      </c>
      <c r="C105">
        <f>IF($A105="","",Students!C105)</f>
        <v/>
      </c>
      <c r="D105">
        <f>IF($A105="","",IFERROR(COUNTIF(INDEX(Progress!$E$2:$BK$200,MATCH($A105,Progress!$A$2:$A$200,0),0),TRUE),0))</f>
        <v/>
      </c>
      <c r="E105">
        <f>IF($A105="","",COUNTIF(Log!$A$2:$A$5000,$A105))</f>
        <v/>
      </c>
      <c r="F105" s="10">
        <f>IF($A105="","",IF(E105=0,"",COUNTIFS(Log!$A$2:$A$5000,$A105,Log!$J$2:$J$5000,TRUE)/E105))</f>
        <v/>
      </c>
      <c r="G105">
        <f>IF($A105="","",SUMIF(Log!$A$2:$A$5000,$A105,Log!$H$2:$H$5000))</f>
        <v/>
      </c>
      <c r="H105">
        <f>IF($A105="","",COUNTIF(Fluency!$A$2:$A$5000,$A105))</f>
        <v/>
      </c>
      <c r="I105">
        <f>IF($A105="","",Students!E105)</f>
        <v/>
      </c>
    </row>
    <row r="106">
      <c r="A106">
        <f>IF(Students!A106="","",Students!A106)</f>
        <v/>
      </c>
      <c r="B106">
        <f>IF($A106="","",Students!B106)</f>
        <v/>
      </c>
      <c r="C106">
        <f>IF($A106="","",Students!C106)</f>
        <v/>
      </c>
      <c r="D106">
        <f>IF($A106="","",IFERROR(COUNTIF(INDEX(Progress!$E$2:$BK$200,MATCH($A106,Progress!$A$2:$A$200,0),0),TRUE),0))</f>
        <v/>
      </c>
      <c r="E106">
        <f>IF($A106="","",COUNTIF(Log!$A$2:$A$5000,$A106))</f>
        <v/>
      </c>
      <c r="F106" s="10">
        <f>IF($A106="","",IF(E106=0,"",COUNTIFS(Log!$A$2:$A$5000,$A106,Log!$J$2:$J$5000,TRUE)/E106))</f>
        <v/>
      </c>
      <c r="G106">
        <f>IF($A106="","",SUMIF(Log!$A$2:$A$5000,$A106,Log!$H$2:$H$5000))</f>
        <v/>
      </c>
      <c r="H106">
        <f>IF($A106="","",COUNTIF(Fluency!$A$2:$A$5000,$A106))</f>
        <v/>
      </c>
      <c r="I106">
        <f>IF($A106="","",Students!E106)</f>
        <v/>
      </c>
    </row>
    <row r="107">
      <c r="A107">
        <f>IF(Students!A107="","",Students!A107)</f>
        <v/>
      </c>
      <c r="B107">
        <f>IF($A107="","",Students!B107)</f>
        <v/>
      </c>
      <c r="C107">
        <f>IF($A107="","",Students!C107)</f>
        <v/>
      </c>
      <c r="D107">
        <f>IF($A107="","",IFERROR(COUNTIF(INDEX(Progress!$E$2:$BK$200,MATCH($A107,Progress!$A$2:$A$200,0),0),TRUE),0))</f>
        <v/>
      </c>
      <c r="E107">
        <f>IF($A107="","",COUNTIF(Log!$A$2:$A$5000,$A107))</f>
        <v/>
      </c>
      <c r="F107" s="10">
        <f>IF($A107="","",IF(E107=0,"",COUNTIFS(Log!$A$2:$A$5000,$A107,Log!$J$2:$J$5000,TRUE)/E107))</f>
        <v/>
      </c>
      <c r="G107">
        <f>IF($A107="","",SUMIF(Log!$A$2:$A$5000,$A107,Log!$H$2:$H$5000))</f>
        <v/>
      </c>
      <c r="H107">
        <f>IF($A107="","",COUNTIF(Fluency!$A$2:$A$5000,$A107))</f>
        <v/>
      </c>
      <c r="I107">
        <f>IF($A107="","",Students!E107)</f>
        <v/>
      </c>
    </row>
    <row r="108">
      <c r="A108">
        <f>IF(Students!A108="","",Students!A108)</f>
        <v/>
      </c>
      <c r="B108">
        <f>IF($A108="","",Students!B108)</f>
        <v/>
      </c>
      <c r="C108">
        <f>IF($A108="","",Students!C108)</f>
        <v/>
      </c>
      <c r="D108">
        <f>IF($A108="","",IFERROR(COUNTIF(INDEX(Progress!$E$2:$BK$200,MATCH($A108,Progress!$A$2:$A$200,0),0),TRUE),0))</f>
        <v/>
      </c>
      <c r="E108">
        <f>IF($A108="","",COUNTIF(Log!$A$2:$A$5000,$A108))</f>
        <v/>
      </c>
      <c r="F108" s="10">
        <f>IF($A108="","",IF(E108=0,"",COUNTIFS(Log!$A$2:$A$5000,$A108,Log!$J$2:$J$5000,TRUE)/E108))</f>
        <v/>
      </c>
      <c r="G108">
        <f>IF($A108="","",SUMIF(Log!$A$2:$A$5000,$A108,Log!$H$2:$H$5000))</f>
        <v/>
      </c>
      <c r="H108">
        <f>IF($A108="","",COUNTIF(Fluency!$A$2:$A$5000,$A108))</f>
        <v/>
      </c>
      <c r="I108">
        <f>IF($A108="","",Students!E108)</f>
        <v/>
      </c>
    </row>
    <row r="109">
      <c r="A109">
        <f>IF(Students!A109="","",Students!A109)</f>
        <v/>
      </c>
      <c r="B109">
        <f>IF($A109="","",Students!B109)</f>
        <v/>
      </c>
      <c r="C109">
        <f>IF($A109="","",Students!C109)</f>
        <v/>
      </c>
      <c r="D109">
        <f>IF($A109="","",IFERROR(COUNTIF(INDEX(Progress!$E$2:$BK$200,MATCH($A109,Progress!$A$2:$A$200,0),0),TRUE),0))</f>
        <v/>
      </c>
      <c r="E109">
        <f>IF($A109="","",COUNTIF(Log!$A$2:$A$5000,$A109))</f>
        <v/>
      </c>
      <c r="F109" s="10">
        <f>IF($A109="","",IF(E109=0,"",COUNTIFS(Log!$A$2:$A$5000,$A109,Log!$J$2:$J$5000,TRUE)/E109))</f>
        <v/>
      </c>
      <c r="G109">
        <f>IF($A109="","",SUMIF(Log!$A$2:$A$5000,$A109,Log!$H$2:$H$5000))</f>
        <v/>
      </c>
      <c r="H109">
        <f>IF($A109="","",COUNTIF(Fluency!$A$2:$A$5000,$A109))</f>
        <v/>
      </c>
      <c r="I109">
        <f>IF($A109="","",Students!E109)</f>
        <v/>
      </c>
    </row>
    <row r="110">
      <c r="A110">
        <f>IF(Students!A110="","",Students!A110)</f>
        <v/>
      </c>
      <c r="B110">
        <f>IF($A110="","",Students!B110)</f>
        <v/>
      </c>
      <c r="C110">
        <f>IF($A110="","",Students!C110)</f>
        <v/>
      </c>
      <c r="D110">
        <f>IF($A110="","",IFERROR(COUNTIF(INDEX(Progress!$E$2:$BK$200,MATCH($A110,Progress!$A$2:$A$200,0),0),TRUE),0))</f>
        <v/>
      </c>
      <c r="E110">
        <f>IF($A110="","",COUNTIF(Log!$A$2:$A$5000,$A110))</f>
        <v/>
      </c>
      <c r="F110" s="10">
        <f>IF($A110="","",IF(E110=0,"",COUNTIFS(Log!$A$2:$A$5000,$A110,Log!$J$2:$J$5000,TRUE)/E110))</f>
        <v/>
      </c>
      <c r="G110">
        <f>IF($A110="","",SUMIF(Log!$A$2:$A$5000,$A110,Log!$H$2:$H$5000))</f>
        <v/>
      </c>
      <c r="H110">
        <f>IF($A110="","",COUNTIF(Fluency!$A$2:$A$5000,$A110))</f>
        <v/>
      </c>
      <c r="I110">
        <f>IF($A110="","",Students!E110)</f>
        <v/>
      </c>
    </row>
    <row r="111">
      <c r="A111">
        <f>IF(Students!A111="","",Students!A111)</f>
        <v/>
      </c>
      <c r="B111">
        <f>IF($A111="","",Students!B111)</f>
        <v/>
      </c>
      <c r="C111">
        <f>IF($A111="","",Students!C111)</f>
        <v/>
      </c>
      <c r="D111">
        <f>IF($A111="","",IFERROR(COUNTIF(INDEX(Progress!$E$2:$BK$200,MATCH($A111,Progress!$A$2:$A$200,0),0),TRUE),0))</f>
        <v/>
      </c>
      <c r="E111">
        <f>IF($A111="","",COUNTIF(Log!$A$2:$A$5000,$A111))</f>
        <v/>
      </c>
      <c r="F111" s="10">
        <f>IF($A111="","",IF(E111=0,"",COUNTIFS(Log!$A$2:$A$5000,$A111,Log!$J$2:$J$5000,TRUE)/E111))</f>
        <v/>
      </c>
      <c r="G111">
        <f>IF($A111="","",SUMIF(Log!$A$2:$A$5000,$A111,Log!$H$2:$H$5000))</f>
        <v/>
      </c>
      <c r="H111">
        <f>IF($A111="","",COUNTIF(Fluency!$A$2:$A$5000,$A111))</f>
        <v/>
      </c>
      <c r="I111">
        <f>IF($A111="","",Students!E111)</f>
        <v/>
      </c>
    </row>
    <row r="112">
      <c r="A112">
        <f>IF(Students!A112="","",Students!A112)</f>
        <v/>
      </c>
      <c r="B112">
        <f>IF($A112="","",Students!B112)</f>
        <v/>
      </c>
      <c r="C112">
        <f>IF($A112="","",Students!C112)</f>
        <v/>
      </c>
      <c r="D112">
        <f>IF($A112="","",IFERROR(COUNTIF(INDEX(Progress!$E$2:$BK$200,MATCH($A112,Progress!$A$2:$A$200,0),0),TRUE),0))</f>
        <v/>
      </c>
      <c r="E112">
        <f>IF($A112="","",COUNTIF(Log!$A$2:$A$5000,$A112))</f>
        <v/>
      </c>
      <c r="F112" s="10">
        <f>IF($A112="","",IF(E112=0,"",COUNTIFS(Log!$A$2:$A$5000,$A112,Log!$J$2:$J$5000,TRUE)/E112))</f>
        <v/>
      </c>
      <c r="G112">
        <f>IF($A112="","",SUMIF(Log!$A$2:$A$5000,$A112,Log!$H$2:$H$5000))</f>
        <v/>
      </c>
      <c r="H112">
        <f>IF($A112="","",COUNTIF(Fluency!$A$2:$A$5000,$A112))</f>
        <v/>
      </c>
      <c r="I112">
        <f>IF($A112="","",Students!E112)</f>
        <v/>
      </c>
    </row>
    <row r="113">
      <c r="A113">
        <f>IF(Students!A113="","",Students!A113)</f>
        <v/>
      </c>
      <c r="B113">
        <f>IF($A113="","",Students!B113)</f>
        <v/>
      </c>
      <c r="C113">
        <f>IF($A113="","",Students!C113)</f>
        <v/>
      </c>
      <c r="D113">
        <f>IF($A113="","",IFERROR(COUNTIF(INDEX(Progress!$E$2:$BK$200,MATCH($A113,Progress!$A$2:$A$200,0),0),TRUE),0))</f>
        <v/>
      </c>
      <c r="E113">
        <f>IF($A113="","",COUNTIF(Log!$A$2:$A$5000,$A113))</f>
        <v/>
      </c>
      <c r="F113" s="10">
        <f>IF($A113="","",IF(E113=0,"",COUNTIFS(Log!$A$2:$A$5000,$A113,Log!$J$2:$J$5000,TRUE)/E113))</f>
        <v/>
      </c>
      <c r="G113">
        <f>IF($A113="","",SUMIF(Log!$A$2:$A$5000,$A113,Log!$H$2:$H$5000))</f>
        <v/>
      </c>
      <c r="H113">
        <f>IF($A113="","",COUNTIF(Fluency!$A$2:$A$5000,$A113))</f>
        <v/>
      </c>
      <c r="I113">
        <f>IF($A113="","",Students!E113)</f>
        <v/>
      </c>
    </row>
    <row r="114">
      <c r="A114">
        <f>IF(Students!A114="","",Students!A114)</f>
        <v/>
      </c>
      <c r="B114">
        <f>IF($A114="","",Students!B114)</f>
        <v/>
      </c>
      <c r="C114">
        <f>IF($A114="","",Students!C114)</f>
        <v/>
      </c>
      <c r="D114">
        <f>IF($A114="","",IFERROR(COUNTIF(INDEX(Progress!$E$2:$BK$200,MATCH($A114,Progress!$A$2:$A$200,0),0),TRUE),0))</f>
        <v/>
      </c>
      <c r="E114">
        <f>IF($A114="","",COUNTIF(Log!$A$2:$A$5000,$A114))</f>
        <v/>
      </c>
      <c r="F114" s="10">
        <f>IF($A114="","",IF(E114=0,"",COUNTIFS(Log!$A$2:$A$5000,$A114,Log!$J$2:$J$5000,TRUE)/E114))</f>
        <v/>
      </c>
      <c r="G114">
        <f>IF($A114="","",SUMIF(Log!$A$2:$A$5000,$A114,Log!$H$2:$H$5000))</f>
        <v/>
      </c>
      <c r="H114">
        <f>IF($A114="","",COUNTIF(Fluency!$A$2:$A$5000,$A114))</f>
        <v/>
      </c>
      <c r="I114">
        <f>IF($A114="","",Students!E114)</f>
        <v/>
      </c>
    </row>
    <row r="115">
      <c r="A115">
        <f>IF(Students!A115="","",Students!A115)</f>
        <v/>
      </c>
      <c r="B115">
        <f>IF($A115="","",Students!B115)</f>
        <v/>
      </c>
      <c r="C115">
        <f>IF($A115="","",Students!C115)</f>
        <v/>
      </c>
      <c r="D115">
        <f>IF($A115="","",IFERROR(COUNTIF(INDEX(Progress!$E$2:$BK$200,MATCH($A115,Progress!$A$2:$A$200,0),0),TRUE),0))</f>
        <v/>
      </c>
      <c r="E115">
        <f>IF($A115="","",COUNTIF(Log!$A$2:$A$5000,$A115))</f>
        <v/>
      </c>
      <c r="F115" s="10">
        <f>IF($A115="","",IF(E115=0,"",COUNTIFS(Log!$A$2:$A$5000,$A115,Log!$J$2:$J$5000,TRUE)/E115))</f>
        <v/>
      </c>
      <c r="G115">
        <f>IF($A115="","",SUMIF(Log!$A$2:$A$5000,$A115,Log!$H$2:$H$5000))</f>
        <v/>
      </c>
      <c r="H115">
        <f>IF($A115="","",COUNTIF(Fluency!$A$2:$A$5000,$A115))</f>
        <v/>
      </c>
      <c r="I115">
        <f>IF($A115="","",Students!E115)</f>
        <v/>
      </c>
    </row>
    <row r="116">
      <c r="A116">
        <f>IF(Students!A116="","",Students!A116)</f>
        <v/>
      </c>
      <c r="B116">
        <f>IF($A116="","",Students!B116)</f>
        <v/>
      </c>
      <c r="C116">
        <f>IF($A116="","",Students!C116)</f>
        <v/>
      </c>
      <c r="D116">
        <f>IF($A116="","",IFERROR(COUNTIF(INDEX(Progress!$E$2:$BK$200,MATCH($A116,Progress!$A$2:$A$200,0),0),TRUE),0))</f>
        <v/>
      </c>
      <c r="E116">
        <f>IF($A116="","",COUNTIF(Log!$A$2:$A$5000,$A116))</f>
        <v/>
      </c>
      <c r="F116" s="10">
        <f>IF($A116="","",IF(E116=0,"",COUNTIFS(Log!$A$2:$A$5000,$A116,Log!$J$2:$J$5000,TRUE)/E116))</f>
        <v/>
      </c>
      <c r="G116">
        <f>IF($A116="","",SUMIF(Log!$A$2:$A$5000,$A116,Log!$H$2:$H$5000))</f>
        <v/>
      </c>
      <c r="H116">
        <f>IF($A116="","",COUNTIF(Fluency!$A$2:$A$5000,$A116))</f>
        <v/>
      </c>
      <c r="I116">
        <f>IF($A116="","",Students!E116)</f>
        <v/>
      </c>
    </row>
    <row r="117">
      <c r="A117">
        <f>IF(Students!A117="","",Students!A117)</f>
        <v/>
      </c>
      <c r="B117">
        <f>IF($A117="","",Students!B117)</f>
        <v/>
      </c>
      <c r="C117">
        <f>IF($A117="","",Students!C117)</f>
        <v/>
      </c>
      <c r="D117">
        <f>IF($A117="","",IFERROR(COUNTIF(INDEX(Progress!$E$2:$BK$200,MATCH($A117,Progress!$A$2:$A$200,0),0),TRUE),0))</f>
        <v/>
      </c>
      <c r="E117">
        <f>IF($A117="","",COUNTIF(Log!$A$2:$A$5000,$A117))</f>
        <v/>
      </c>
      <c r="F117" s="10">
        <f>IF($A117="","",IF(E117=0,"",COUNTIFS(Log!$A$2:$A$5000,$A117,Log!$J$2:$J$5000,TRUE)/E117))</f>
        <v/>
      </c>
      <c r="G117">
        <f>IF($A117="","",SUMIF(Log!$A$2:$A$5000,$A117,Log!$H$2:$H$5000))</f>
        <v/>
      </c>
      <c r="H117">
        <f>IF($A117="","",COUNTIF(Fluency!$A$2:$A$5000,$A117))</f>
        <v/>
      </c>
      <c r="I117">
        <f>IF($A117="","",Students!E117)</f>
        <v/>
      </c>
    </row>
    <row r="118">
      <c r="A118">
        <f>IF(Students!A118="","",Students!A118)</f>
        <v/>
      </c>
      <c r="B118">
        <f>IF($A118="","",Students!B118)</f>
        <v/>
      </c>
      <c r="C118">
        <f>IF($A118="","",Students!C118)</f>
        <v/>
      </c>
      <c r="D118">
        <f>IF($A118="","",IFERROR(COUNTIF(INDEX(Progress!$E$2:$BK$200,MATCH($A118,Progress!$A$2:$A$200,0),0),TRUE),0))</f>
        <v/>
      </c>
      <c r="E118">
        <f>IF($A118="","",COUNTIF(Log!$A$2:$A$5000,$A118))</f>
        <v/>
      </c>
      <c r="F118" s="10">
        <f>IF($A118="","",IF(E118=0,"",COUNTIFS(Log!$A$2:$A$5000,$A118,Log!$J$2:$J$5000,TRUE)/E118))</f>
        <v/>
      </c>
      <c r="G118">
        <f>IF($A118="","",SUMIF(Log!$A$2:$A$5000,$A118,Log!$H$2:$H$5000))</f>
        <v/>
      </c>
      <c r="H118">
        <f>IF($A118="","",COUNTIF(Fluency!$A$2:$A$5000,$A118))</f>
        <v/>
      </c>
      <c r="I118">
        <f>IF($A118="","",Students!E118)</f>
        <v/>
      </c>
    </row>
    <row r="119">
      <c r="A119">
        <f>IF(Students!A119="","",Students!A119)</f>
        <v/>
      </c>
      <c r="B119">
        <f>IF($A119="","",Students!B119)</f>
        <v/>
      </c>
      <c r="C119">
        <f>IF($A119="","",Students!C119)</f>
        <v/>
      </c>
      <c r="D119">
        <f>IF($A119="","",IFERROR(COUNTIF(INDEX(Progress!$E$2:$BK$200,MATCH($A119,Progress!$A$2:$A$200,0),0),TRUE),0))</f>
        <v/>
      </c>
      <c r="E119">
        <f>IF($A119="","",COUNTIF(Log!$A$2:$A$5000,$A119))</f>
        <v/>
      </c>
      <c r="F119" s="10">
        <f>IF($A119="","",IF(E119=0,"",COUNTIFS(Log!$A$2:$A$5000,$A119,Log!$J$2:$J$5000,TRUE)/E119))</f>
        <v/>
      </c>
      <c r="G119">
        <f>IF($A119="","",SUMIF(Log!$A$2:$A$5000,$A119,Log!$H$2:$H$5000))</f>
        <v/>
      </c>
      <c r="H119">
        <f>IF($A119="","",COUNTIF(Fluency!$A$2:$A$5000,$A119))</f>
        <v/>
      </c>
      <c r="I119">
        <f>IF($A119="","",Students!E119)</f>
        <v/>
      </c>
    </row>
    <row r="120">
      <c r="A120">
        <f>IF(Students!A120="","",Students!A120)</f>
        <v/>
      </c>
      <c r="B120">
        <f>IF($A120="","",Students!B120)</f>
        <v/>
      </c>
      <c r="C120">
        <f>IF($A120="","",Students!C120)</f>
        <v/>
      </c>
      <c r="D120">
        <f>IF($A120="","",IFERROR(COUNTIF(INDEX(Progress!$E$2:$BK$200,MATCH($A120,Progress!$A$2:$A$200,0),0),TRUE),0))</f>
        <v/>
      </c>
      <c r="E120">
        <f>IF($A120="","",COUNTIF(Log!$A$2:$A$5000,$A120))</f>
        <v/>
      </c>
      <c r="F120" s="10">
        <f>IF($A120="","",IF(E120=0,"",COUNTIFS(Log!$A$2:$A$5000,$A120,Log!$J$2:$J$5000,TRUE)/E120))</f>
        <v/>
      </c>
      <c r="G120">
        <f>IF($A120="","",SUMIF(Log!$A$2:$A$5000,$A120,Log!$H$2:$H$5000))</f>
        <v/>
      </c>
      <c r="H120">
        <f>IF($A120="","",COUNTIF(Fluency!$A$2:$A$5000,$A120))</f>
        <v/>
      </c>
      <c r="I120">
        <f>IF($A120="","",Students!E120)</f>
        <v/>
      </c>
    </row>
    <row r="121">
      <c r="A121">
        <f>IF(Students!A121="","",Students!A121)</f>
        <v/>
      </c>
      <c r="B121">
        <f>IF($A121="","",Students!B121)</f>
        <v/>
      </c>
      <c r="C121">
        <f>IF($A121="","",Students!C121)</f>
        <v/>
      </c>
      <c r="D121">
        <f>IF($A121="","",IFERROR(COUNTIF(INDEX(Progress!$E$2:$BK$200,MATCH($A121,Progress!$A$2:$A$200,0),0),TRUE),0))</f>
        <v/>
      </c>
      <c r="E121">
        <f>IF($A121="","",COUNTIF(Log!$A$2:$A$5000,$A121))</f>
        <v/>
      </c>
      <c r="F121" s="10">
        <f>IF($A121="","",IF(E121=0,"",COUNTIFS(Log!$A$2:$A$5000,$A121,Log!$J$2:$J$5000,TRUE)/E121))</f>
        <v/>
      </c>
      <c r="G121">
        <f>IF($A121="","",SUMIF(Log!$A$2:$A$5000,$A121,Log!$H$2:$H$5000))</f>
        <v/>
      </c>
      <c r="H121">
        <f>IF($A121="","",COUNTIF(Fluency!$A$2:$A$5000,$A121))</f>
        <v/>
      </c>
      <c r="I121">
        <f>IF($A121="","",Students!E121)</f>
        <v/>
      </c>
    </row>
    <row r="122">
      <c r="A122">
        <f>IF(Students!A122="","",Students!A122)</f>
        <v/>
      </c>
      <c r="B122">
        <f>IF($A122="","",Students!B122)</f>
        <v/>
      </c>
      <c r="C122">
        <f>IF($A122="","",Students!C122)</f>
        <v/>
      </c>
      <c r="D122">
        <f>IF($A122="","",IFERROR(COUNTIF(INDEX(Progress!$E$2:$BK$200,MATCH($A122,Progress!$A$2:$A$200,0),0),TRUE),0))</f>
        <v/>
      </c>
      <c r="E122">
        <f>IF($A122="","",COUNTIF(Log!$A$2:$A$5000,$A122))</f>
        <v/>
      </c>
      <c r="F122" s="10">
        <f>IF($A122="","",IF(E122=0,"",COUNTIFS(Log!$A$2:$A$5000,$A122,Log!$J$2:$J$5000,TRUE)/E122))</f>
        <v/>
      </c>
      <c r="G122">
        <f>IF($A122="","",SUMIF(Log!$A$2:$A$5000,$A122,Log!$H$2:$H$5000))</f>
        <v/>
      </c>
      <c r="H122">
        <f>IF($A122="","",COUNTIF(Fluency!$A$2:$A$5000,$A122))</f>
        <v/>
      </c>
      <c r="I122">
        <f>IF($A122="","",Students!E122)</f>
        <v/>
      </c>
    </row>
    <row r="123">
      <c r="A123">
        <f>IF(Students!A123="","",Students!A123)</f>
        <v/>
      </c>
      <c r="B123">
        <f>IF($A123="","",Students!B123)</f>
        <v/>
      </c>
      <c r="C123">
        <f>IF($A123="","",Students!C123)</f>
        <v/>
      </c>
      <c r="D123">
        <f>IF($A123="","",IFERROR(COUNTIF(INDEX(Progress!$E$2:$BK$200,MATCH($A123,Progress!$A$2:$A$200,0),0),TRUE),0))</f>
        <v/>
      </c>
      <c r="E123">
        <f>IF($A123="","",COUNTIF(Log!$A$2:$A$5000,$A123))</f>
        <v/>
      </c>
      <c r="F123" s="10">
        <f>IF($A123="","",IF(E123=0,"",COUNTIFS(Log!$A$2:$A$5000,$A123,Log!$J$2:$J$5000,TRUE)/E123))</f>
        <v/>
      </c>
      <c r="G123">
        <f>IF($A123="","",SUMIF(Log!$A$2:$A$5000,$A123,Log!$H$2:$H$5000))</f>
        <v/>
      </c>
      <c r="H123">
        <f>IF($A123="","",COUNTIF(Fluency!$A$2:$A$5000,$A123))</f>
        <v/>
      </c>
      <c r="I123">
        <f>IF($A123="","",Students!E123)</f>
        <v/>
      </c>
    </row>
    <row r="124">
      <c r="A124">
        <f>IF(Students!A124="","",Students!A124)</f>
        <v/>
      </c>
      <c r="B124">
        <f>IF($A124="","",Students!B124)</f>
        <v/>
      </c>
      <c r="C124">
        <f>IF($A124="","",Students!C124)</f>
        <v/>
      </c>
      <c r="D124">
        <f>IF($A124="","",IFERROR(COUNTIF(INDEX(Progress!$E$2:$BK$200,MATCH($A124,Progress!$A$2:$A$200,0),0),TRUE),0))</f>
        <v/>
      </c>
      <c r="E124">
        <f>IF($A124="","",COUNTIF(Log!$A$2:$A$5000,$A124))</f>
        <v/>
      </c>
      <c r="F124" s="10">
        <f>IF($A124="","",IF(E124=0,"",COUNTIFS(Log!$A$2:$A$5000,$A124,Log!$J$2:$J$5000,TRUE)/E124))</f>
        <v/>
      </c>
      <c r="G124">
        <f>IF($A124="","",SUMIF(Log!$A$2:$A$5000,$A124,Log!$H$2:$H$5000))</f>
        <v/>
      </c>
      <c r="H124">
        <f>IF($A124="","",COUNTIF(Fluency!$A$2:$A$5000,$A124))</f>
        <v/>
      </c>
      <c r="I124">
        <f>IF($A124="","",Students!E124)</f>
        <v/>
      </c>
    </row>
    <row r="125">
      <c r="A125">
        <f>IF(Students!A125="","",Students!A125)</f>
        <v/>
      </c>
      <c r="B125">
        <f>IF($A125="","",Students!B125)</f>
        <v/>
      </c>
      <c r="C125">
        <f>IF($A125="","",Students!C125)</f>
        <v/>
      </c>
      <c r="D125">
        <f>IF($A125="","",IFERROR(COUNTIF(INDEX(Progress!$E$2:$BK$200,MATCH($A125,Progress!$A$2:$A$200,0),0),TRUE),0))</f>
        <v/>
      </c>
      <c r="E125">
        <f>IF($A125="","",COUNTIF(Log!$A$2:$A$5000,$A125))</f>
        <v/>
      </c>
      <c r="F125" s="10">
        <f>IF($A125="","",IF(E125=0,"",COUNTIFS(Log!$A$2:$A$5000,$A125,Log!$J$2:$J$5000,TRUE)/E125))</f>
        <v/>
      </c>
      <c r="G125">
        <f>IF($A125="","",SUMIF(Log!$A$2:$A$5000,$A125,Log!$H$2:$H$5000))</f>
        <v/>
      </c>
      <c r="H125">
        <f>IF($A125="","",COUNTIF(Fluency!$A$2:$A$5000,$A125))</f>
        <v/>
      </c>
      <c r="I125">
        <f>IF($A125="","",Students!E125)</f>
        <v/>
      </c>
    </row>
    <row r="126">
      <c r="A126">
        <f>IF(Students!A126="","",Students!A126)</f>
        <v/>
      </c>
      <c r="B126">
        <f>IF($A126="","",Students!B126)</f>
        <v/>
      </c>
      <c r="C126">
        <f>IF($A126="","",Students!C126)</f>
        <v/>
      </c>
      <c r="D126">
        <f>IF($A126="","",IFERROR(COUNTIF(INDEX(Progress!$E$2:$BK$200,MATCH($A126,Progress!$A$2:$A$200,0),0),TRUE),0))</f>
        <v/>
      </c>
      <c r="E126">
        <f>IF($A126="","",COUNTIF(Log!$A$2:$A$5000,$A126))</f>
        <v/>
      </c>
      <c r="F126" s="10">
        <f>IF($A126="","",IF(E126=0,"",COUNTIFS(Log!$A$2:$A$5000,$A126,Log!$J$2:$J$5000,TRUE)/E126))</f>
        <v/>
      </c>
      <c r="G126">
        <f>IF($A126="","",SUMIF(Log!$A$2:$A$5000,$A126,Log!$H$2:$H$5000))</f>
        <v/>
      </c>
      <c r="H126">
        <f>IF($A126="","",COUNTIF(Fluency!$A$2:$A$5000,$A126))</f>
        <v/>
      </c>
      <c r="I126">
        <f>IF($A126="","",Students!E126)</f>
        <v/>
      </c>
    </row>
    <row r="127">
      <c r="A127">
        <f>IF(Students!A127="","",Students!A127)</f>
        <v/>
      </c>
      <c r="B127">
        <f>IF($A127="","",Students!B127)</f>
        <v/>
      </c>
      <c r="C127">
        <f>IF($A127="","",Students!C127)</f>
        <v/>
      </c>
      <c r="D127">
        <f>IF($A127="","",IFERROR(COUNTIF(INDEX(Progress!$E$2:$BK$200,MATCH($A127,Progress!$A$2:$A$200,0),0),TRUE),0))</f>
        <v/>
      </c>
      <c r="E127">
        <f>IF($A127="","",COUNTIF(Log!$A$2:$A$5000,$A127))</f>
        <v/>
      </c>
      <c r="F127" s="10">
        <f>IF($A127="","",IF(E127=0,"",COUNTIFS(Log!$A$2:$A$5000,$A127,Log!$J$2:$J$5000,TRUE)/E127))</f>
        <v/>
      </c>
      <c r="G127">
        <f>IF($A127="","",SUMIF(Log!$A$2:$A$5000,$A127,Log!$H$2:$H$5000))</f>
        <v/>
      </c>
      <c r="H127">
        <f>IF($A127="","",COUNTIF(Fluency!$A$2:$A$5000,$A127))</f>
        <v/>
      </c>
      <c r="I127">
        <f>IF($A127="","",Students!E127)</f>
        <v/>
      </c>
    </row>
    <row r="128">
      <c r="A128">
        <f>IF(Students!A128="","",Students!A128)</f>
        <v/>
      </c>
      <c r="B128">
        <f>IF($A128="","",Students!B128)</f>
        <v/>
      </c>
      <c r="C128">
        <f>IF($A128="","",Students!C128)</f>
        <v/>
      </c>
      <c r="D128">
        <f>IF($A128="","",IFERROR(COUNTIF(INDEX(Progress!$E$2:$BK$200,MATCH($A128,Progress!$A$2:$A$200,0),0),TRUE),0))</f>
        <v/>
      </c>
      <c r="E128">
        <f>IF($A128="","",COUNTIF(Log!$A$2:$A$5000,$A128))</f>
        <v/>
      </c>
      <c r="F128" s="10">
        <f>IF($A128="","",IF(E128=0,"",COUNTIFS(Log!$A$2:$A$5000,$A128,Log!$J$2:$J$5000,TRUE)/E128))</f>
        <v/>
      </c>
      <c r="G128">
        <f>IF($A128="","",SUMIF(Log!$A$2:$A$5000,$A128,Log!$H$2:$H$5000))</f>
        <v/>
      </c>
      <c r="H128">
        <f>IF($A128="","",COUNTIF(Fluency!$A$2:$A$5000,$A128))</f>
        <v/>
      </c>
      <c r="I128">
        <f>IF($A128="","",Students!E128)</f>
        <v/>
      </c>
    </row>
    <row r="129">
      <c r="A129">
        <f>IF(Students!A129="","",Students!A129)</f>
        <v/>
      </c>
      <c r="B129">
        <f>IF($A129="","",Students!B129)</f>
        <v/>
      </c>
      <c r="C129">
        <f>IF($A129="","",Students!C129)</f>
        <v/>
      </c>
      <c r="D129">
        <f>IF($A129="","",IFERROR(COUNTIF(INDEX(Progress!$E$2:$BK$200,MATCH($A129,Progress!$A$2:$A$200,0),0),TRUE),0))</f>
        <v/>
      </c>
      <c r="E129">
        <f>IF($A129="","",COUNTIF(Log!$A$2:$A$5000,$A129))</f>
        <v/>
      </c>
      <c r="F129" s="10">
        <f>IF($A129="","",IF(E129=0,"",COUNTIFS(Log!$A$2:$A$5000,$A129,Log!$J$2:$J$5000,TRUE)/E129))</f>
        <v/>
      </c>
      <c r="G129">
        <f>IF($A129="","",SUMIF(Log!$A$2:$A$5000,$A129,Log!$H$2:$H$5000))</f>
        <v/>
      </c>
      <c r="H129">
        <f>IF($A129="","",COUNTIF(Fluency!$A$2:$A$5000,$A129))</f>
        <v/>
      </c>
      <c r="I129">
        <f>IF($A129="","",Students!E129)</f>
        <v/>
      </c>
    </row>
    <row r="130">
      <c r="A130">
        <f>IF(Students!A130="","",Students!A130)</f>
        <v/>
      </c>
      <c r="B130">
        <f>IF($A130="","",Students!B130)</f>
        <v/>
      </c>
      <c r="C130">
        <f>IF($A130="","",Students!C130)</f>
        <v/>
      </c>
      <c r="D130">
        <f>IF($A130="","",IFERROR(COUNTIF(INDEX(Progress!$E$2:$BK$200,MATCH($A130,Progress!$A$2:$A$200,0),0),TRUE),0))</f>
        <v/>
      </c>
      <c r="E130">
        <f>IF($A130="","",COUNTIF(Log!$A$2:$A$5000,$A130))</f>
        <v/>
      </c>
      <c r="F130" s="10">
        <f>IF($A130="","",IF(E130=0,"",COUNTIFS(Log!$A$2:$A$5000,$A130,Log!$J$2:$J$5000,TRUE)/E130))</f>
        <v/>
      </c>
      <c r="G130">
        <f>IF($A130="","",SUMIF(Log!$A$2:$A$5000,$A130,Log!$H$2:$H$5000))</f>
        <v/>
      </c>
      <c r="H130">
        <f>IF($A130="","",COUNTIF(Fluency!$A$2:$A$5000,$A130))</f>
        <v/>
      </c>
      <c r="I130">
        <f>IF($A130="","",Students!E130)</f>
        <v/>
      </c>
    </row>
    <row r="131">
      <c r="A131">
        <f>IF(Students!A131="","",Students!A131)</f>
        <v/>
      </c>
      <c r="B131">
        <f>IF($A131="","",Students!B131)</f>
        <v/>
      </c>
      <c r="C131">
        <f>IF($A131="","",Students!C131)</f>
        <v/>
      </c>
      <c r="D131">
        <f>IF($A131="","",IFERROR(COUNTIF(INDEX(Progress!$E$2:$BK$200,MATCH($A131,Progress!$A$2:$A$200,0),0),TRUE),0))</f>
        <v/>
      </c>
      <c r="E131">
        <f>IF($A131="","",COUNTIF(Log!$A$2:$A$5000,$A131))</f>
        <v/>
      </c>
      <c r="F131" s="10">
        <f>IF($A131="","",IF(E131=0,"",COUNTIFS(Log!$A$2:$A$5000,$A131,Log!$J$2:$J$5000,TRUE)/E131))</f>
        <v/>
      </c>
      <c r="G131">
        <f>IF($A131="","",SUMIF(Log!$A$2:$A$5000,$A131,Log!$H$2:$H$5000))</f>
        <v/>
      </c>
      <c r="H131">
        <f>IF($A131="","",COUNTIF(Fluency!$A$2:$A$5000,$A131))</f>
        <v/>
      </c>
      <c r="I131">
        <f>IF($A131="","",Students!E131)</f>
        <v/>
      </c>
    </row>
    <row r="132">
      <c r="A132">
        <f>IF(Students!A132="","",Students!A132)</f>
        <v/>
      </c>
      <c r="B132">
        <f>IF($A132="","",Students!B132)</f>
        <v/>
      </c>
      <c r="C132">
        <f>IF($A132="","",Students!C132)</f>
        <v/>
      </c>
      <c r="D132">
        <f>IF($A132="","",IFERROR(COUNTIF(INDEX(Progress!$E$2:$BK$200,MATCH($A132,Progress!$A$2:$A$200,0),0),TRUE),0))</f>
        <v/>
      </c>
      <c r="E132">
        <f>IF($A132="","",COUNTIF(Log!$A$2:$A$5000,$A132))</f>
        <v/>
      </c>
      <c r="F132" s="10">
        <f>IF($A132="","",IF(E132=0,"",COUNTIFS(Log!$A$2:$A$5000,$A132,Log!$J$2:$J$5000,TRUE)/E132))</f>
        <v/>
      </c>
      <c r="G132">
        <f>IF($A132="","",SUMIF(Log!$A$2:$A$5000,$A132,Log!$H$2:$H$5000))</f>
        <v/>
      </c>
      <c r="H132">
        <f>IF($A132="","",COUNTIF(Fluency!$A$2:$A$5000,$A132))</f>
        <v/>
      </c>
      <c r="I132">
        <f>IF($A132="","",Students!E132)</f>
        <v/>
      </c>
    </row>
    <row r="133">
      <c r="A133">
        <f>IF(Students!A133="","",Students!A133)</f>
        <v/>
      </c>
      <c r="B133">
        <f>IF($A133="","",Students!B133)</f>
        <v/>
      </c>
      <c r="C133">
        <f>IF($A133="","",Students!C133)</f>
        <v/>
      </c>
      <c r="D133">
        <f>IF($A133="","",IFERROR(COUNTIF(INDEX(Progress!$E$2:$BK$200,MATCH($A133,Progress!$A$2:$A$200,0),0),TRUE),0))</f>
        <v/>
      </c>
      <c r="E133">
        <f>IF($A133="","",COUNTIF(Log!$A$2:$A$5000,$A133))</f>
        <v/>
      </c>
      <c r="F133" s="10">
        <f>IF($A133="","",IF(E133=0,"",COUNTIFS(Log!$A$2:$A$5000,$A133,Log!$J$2:$J$5000,TRUE)/E133))</f>
        <v/>
      </c>
      <c r="G133">
        <f>IF($A133="","",SUMIF(Log!$A$2:$A$5000,$A133,Log!$H$2:$H$5000))</f>
        <v/>
      </c>
      <c r="H133">
        <f>IF($A133="","",COUNTIF(Fluency!$A$2:$A$5000,$A133))</f>
        <v/>
      </c>
      <c r="I133">
        <f>IF($A133="","",Students!E133)</f>
        <v/>
      </c>
    </row>
    <row r="134">
      <c r="A134">
        <f>IF(Students!A134="","",Students!A134)</f>
        <v/>
      </c>
      <c r="B134">
        <f>IF($A134="","",Students!B134)</f>
        <v/>
      </c>
      <c r="C134">
        <f>IF($A134="","",Students!C134)</f>
        <v/>
      </c>
      <c r="D134">
        <f>IF($A134="","",IFERROR(COUNTIF(INDEX(Progress!$E$2:$BK$200,MATCH($A134,Progress!$A$2:$A$200,0),0),TRUE),0))</f>
        <v/>
      </c>
      <c r="E134">
        <f>IF($A134="","",COUNTIF(Log!$A$2:$A$5000,$A134))</f>
        <v/>
      </c>
      <c r="F134" s="10">
        <f>IF($A134="","",IF(E134=0,"",COUNTIFS(Log!$A$2:$A$5000,$A134,Log!$J$2:$J$5000,TRUE)/E134))</f>
        <v/>
      </c>
      <c r="G134">
        <f>IF($A134="","",SUMIF(Log!$A$2:$A$5000,$A134,Log!$H$2:$H$5000))</f>
        <v/>
      </c>
      <c r="H134">
        <f>IF($A134="","",COUNTIF(Fluency!$A$2:$A$5000,$A134))</f>
        <v/>
      </c>
      <c r="I134">
        <f>IF($A134="","",Students!E134)</f>
        <v/>
      </c>
    </row>
    <row r="135">
      <c r="A135">
        <f>IF(Students!A135="","",Students!A135)</f>
        <v/>
      </c>
      <c r="B135">
        <f>IF($A135="","",Students!B135)</f>
        <v/>
      </c>
      <c r="C135">
        <f>IF($A135="","",Students!C135)</f>
        <v/>
      </c>
      <c r="D135">
        <f>IF($A135="","",IFERROR(COUNTIF(INDEX(Progress!$E$2:$BK$200,MATCH($A135,Progress!$A$2:$A$200,0),0),TRUE),0))</f>
        <v/>
      </c>
      <c r="E135">
        <f>IF($A135="","",COUNTIF(Log!$A$2:$A$5000,$A135))</f>
        <v/>
      </c>
      <c r="F135" s="10">
        <f>IF($A135="","",IF(E135=0,"",COUNTIFS(Log!$A$2:$A$5000,$A135,Log!$J$2:$J$5000,TRUE)/E135))</f>
        <v/>
      </c>
      <c r="G135">
        <f>IF($A135="","",SUMIF(Log!$A$2:$A$5000,$A135,Log!$H$2:$H$5000))</f>
        <v/>
      </c>
      <c r="H135">
        <f>IF($A135="","",COUNTIF(Fluency!$A$2:$A$5000,$A135))</f>
        <v/>
      </c>
      <c r="I135">
        <f>IF($A135="","",Students!E135)</f>
        <v/>
      </c>
    </row>
    <row r="136">
      <c r="A136">
        <f>IF(Students!A136="","",Students!A136)</f>
        <v/>
      </c>
      <c r="B136">
        <f>IF($A136="","",Students!B136)</f>
        <v/>
      </c>
      <c r="C136">
        <f>IF($A136="","",Students!C136)</f>
        <v/>
      </c>
      <c r="D136">
        <f>IF($A136="","",IFERROR(COUNTIF(INDEX(Progress!$E$2:$BK$200,MATCH($A136,Progress!$A$2:$A$200,0),0),TRUE),0))</f>
        <v/>
      </c>
      <c r="E136">
        <f>IF($A136="","",COUNTIF(Log!$A$2:$A$5000,$A136))</f>
        <v/>
      </c>
      <c r="F136" s="10">
        <f>IF($A136="","",IF(E136=0,"",COUNTIFS(Log!$A$2:$A$5000,$A136,Log!$J$2:$J$5000,TRUE)/E136))</f>
        <v/>
      </c>
      <c r="G136">
        <f>IF($A136="","",SUMIF(Log!$A$2:$A$5000,$A136,Log!$H$2:$H$5000))</f>
        <v/>
      </c>
      <c r="H136">
        <f>IF($A136="","",COUNTIF(Fluency!$A$2:$A$5000,$A136))</f>
        <v/>
      </c>
      <c r="I136">
        <f>IF($A136="","",Students!E136)</f>
        <v/>
      </c>
    </row>
    <row r="137">
      <c r="A137">
        <f>IF(Students!A137="","",Students!A137)</f>
        <v/>
      </c>
      <c r="B137">
        <f>IF($A137="","",Students!B137)</f>
        <v/>
      </c>
      <c r="C137">
        <f>IF($A137="","",Students!C137)</f>
        <v/>
      </c>
      <c r="D137">
        <f>IF($A137="","",IFERROR(COUNTIF(INDEX(Progress!$E$2:$BK$200,MATCH($A137,Progress!$A$2:$A$200,0),0),TRUE),0))</f>
        <v/>
      </c>
      <c r="E137">
        <f>IF($A137="","",COUNTIF(Log!$A$2:$A$5000,$A137))</f>
        <v/>
      </c>
      <c r="F137" s="10">
        <f>IF($A137="","",IF(E137=0,"",COUNTIFS(Log!$A$2:$A$5000,$A137,Log!$J$2:$J$5000,TRUE)/E137))</f>
        <v/>
      </c>
      <c r="G137">
        <f>IF($A137="","",SUMIF(Log!$A$2:$A$5000,$A137,Log!$H$2:$H$5000))</f>
        <v/>
      </c>
      <c r="H137">
        <f>IF($A137="","",COUNTIF(Fluency!$A$2:$A$5000,$A137))</f>
        <v/>
      </c>
      <c r="I137">
        <f>IF($A137="","",Students!E137)</f>
        <v/>
      </c>
    </row>
    <row r="138">
      <c r="A138">
        <f>IF(Students!A138="","",Students!A138)</f>
        <v/>
      </c>
      <c r="B138">
        <f>IF($A138="","",Students!B138)</f>
        <v/>
      </c>
      <c r="C138">
        <f>IF($A138="","",Students!C138)</f>
        <v/>
      </c>
      <c r="D138">
        <f>IF($A138="","",IFERROR(COUNTIF(INDEX(Progress!$E$2:$BK$200,MATCH($A138,Progress!$A$2:$A$200,0),0),TRUE),0))</f>
        <v/>
      </c>
      <c r="E138">
        <f>IF($A138="","",COUNTIF(Log!$A$2:$A$5000,$A138))</f>
        <v/>
      </c>
      <c r="F138" s="10">
        <f>IF($A138="","",IF(E138=0,"",COUNTIFS(Log!$A$2:$A$5000,$A138,Log!$J$2:$J$5000,TRUE)/E138))</f>
        <v/>
      </c>
      <c r="G138">
        <f>IF($A138="","",SUMIF(Log!$A$2:$A$5000,$A138,Log!$H$2:$H$5000))</f>
        <v/>
      </c>
      <c r="H138">
        <f>IF($A138="","",COUNTIF(Fluency!$A$2:$A$5000,$A138))</f>
        <v/>
      </c>
      <c r="I138">
        <f>IF($A138="","",Students!E138)</f>
        <v/>
      </c>
    </row>
    <row r="139">
      <c r="A139">
        <f>IF(Students!A139="","",Students!A139)</f>
        <v/>
      </c>
      <c r="B139">
        <f>IF($A139="","",Students!B139)</f>
        <v/>
      </c>
      <c r="C139">
        <f>IF($A139="","",Students!C139)</f>
        <v/>
      </c>
      <c r="D139">
        <f>IF($A139="","",IFERROR(COUNTIF(INDEX(Progress!$E$2:$BK$200,MATCH($A139,Progress!$A$2:$A$200,0),0),TRUE),0))</f>
        <v/>
      </c>
      <c r="E139">
        <f>IF($A139="","",COUNTIF(Log!$A$2:$A$5000,$A139))</f>
        <v/>
      </c>
      <c r="F139" s="10">
        <f>IF($A139="","",IF(E139=0,"",COUNTIFS(Log!$A$2:$A$5000,$A139,Log!$J$2:$J$5000,TRUE)/E139))</f>
        <v/>
      </c>
      <c r="G139">
        <f>IF($A139="","",SUMIF(Log!$A$2:$A$5000,$A139,Log!$H$2:$H$5000))</f>
        <v/>
      </c>
      <c r="H139">
        <f>IF($A139="","",COUNTIF(Fluency!$A$2:$A$5000,$A139))</f>
        <v/>
      </c>
      <c r="I139">
        <f>IF($A139="","",Students!E139)</f>
        <v/>
      </c>
    </row>
    <row r="140">
      <c r="A140">
        <f>IF(Students!A140="","",Students!A140)</f>
        <v/>
      </c>
      <c r="B140">
        <f>IF($A140="","",Students!B140)</f>
        <v/>
      </c>
      <c r="C140">
        <f>IF($A140="","",Students!C140)</f>
        <v/>
      </c>
      <c r="D140">
        <f>IF($A140="","",IFERROR(COUNTIF(INDEX(Progress!$E$2:$BK$200,MATCH($A140,Progress!$A$2:$A$200,0),0),TRUE),0))</f>
        <v/>
      </c>
      <c r="E140">
        <f>IF($A140="","",COUNTIF(Log!$A$2:$A$5000,$A140))</f>
        <v/>
      </c>
      <c r="F140" s="10">
        <f>IF($A140="","",IF(E140=0,"",COUNTIFS(Log!$A$2:$A$5000,$A140,Log!$J$2:$J$5000,TRUE)/E140))</f>
        <v/>
      </c>
      <c r="G140">
        <f>IF($A140="","",SUMIF(Log!$A$2:$A$5000,$A140,Log!$H$2:$H$5000))</f>
        <v/>
      </c>
      <c r="H140">
        <f>IF($A140="","",COUNTIF(Fluency!$A$2:$A$5000,$A140))</f>
        <v/>
      </c>
      <c r="I140">
        <f>IF($A140="","",Students!E140)</f>
        <v/>
      </c>
    </row>
    <row r="141">
      <c r="A141">
        <f>IF(Students!A141="","",Students!A141)</f>
        <v/>
      </c>
      <c r="B141">
        <f>IF($A141="","",Students!B141)</f>
        <v/>
      </c>
      <c r="C141">
        <f>IF($A141="","",Students!C141)</f>
        <v/>
      </c>
      <c r="D141">
        <f>IF($A141="","",IFERROR(COUNTIF(INDEX(Progress!$E$2:$BK$200,MATCH($A141,Progress!$A$2:$A$200,0),0),TRUE),0))</f>
        <v/>
      </c>
      <c r="E141">
        <f>IF($A141="","",COUNTIF(Log!$A$2:$A$5000,$A141))</f>
        <v/>
      </c>
      <c r="F141" s="10">
        <f>IF($A141="","",IF(E141=0,"",COUNTIFS(Log!$A$2:$A$5000,$A141,Log!$J$2:$J$5000,TRUE)/E141))</f>
        <v/>
      </c>
      <c r="G141">
        <f>IF($A141="","",SUMIF(Log!$A$2:$A$5000,$A141,Log!$H$2:$H$5000))</f>
        <v/>
      </c>
      <c r="H141">
        <f>IF($A141="","",COUNTIF(Fluency!$A$2:$A$5000,$A141))</f>
        <v/>
      </c>
      <c r="I141">
        <f>IF($A141="","",Students!E141)</f>
        <v/>
      </c>
    </row>
    <row r="142">
      <c r="A142">
        <f>IF(Students!A142="","",Students!A142)</f>
        <v/>
      </c>
      <c r="B142">
        <f>IF($A142="","",Students!B142)</f>
        <v/>
      </c>
      <c r="C142">
        <f>IF($A142="","",Students!C142)</f>
        <v/>
      </c>
      <c r="D142">
        <f>IF($A142="","",IFERROR(COUNTIF(INDEX(Progress!$E$2:$BK$200,MATCH($A142,Progress!$A$2:$A$200,0),0),TRUE),0))</f>
        <v/>
      </c>
      <c r="E142">
        <f>IF($A142="","",COUNTIF(Log!$A$2:$A$5000,$A142))</f>
        <v/>
      </c>
      <c r="F142" s="10">
        <f>IF($A142="","",IF(E142=0,"",COUNTIFS(Log!$A$2:$A$5000,$A142,Log!$J$2:$J$5000,TRUE)/E142))</f>
        <v/>
      </c>
      <c r="G142">
        <f>IF($A142="","",SUMIF(Log!$A$2:$A$5000,$A142,Log!$H$2:$H$5000))</f>
        <v/>
      </c>
      <c r="H142">
        <f>IF($A142="","",COUNTIF(Fluency!$A$2:$A$5000,$A142))</f>
        <v/>
      </c>
      <c r="I142">
        <f>IF($A142="","",Students!E142)</f>
        <v/>
      </c>
    </row>
    <row r="143">
      <c r="A143">
        <f>IF(Students!A143="","",Students!A143)</f>
        <v/>
      </c>
      <c r="B143">
        <f>IF($A143="","",Students!B143)</f>
        <v/>
      </c>
      <c r="C143">
        <f>IF($A143="","",Students!C143)</f>
        <v/>
      </c>
      <c r="D143">
        <f>IF($A143="","",IFERROR(COUNTIF(INDEX(Progress!$E$2:$BK$200,MATCH($A143,Progress!$A$2:$A$200,0),0),TRUE),0))</f>
        <v/>
      </c>
      <c r="E143">
        <f>IF($A143="","",COUNTIF(Log!$A$2:$A$5000,$A143))</f>
        <v/>
      </c>
      <c r="F143" s="10">
        <f>IF($A143="","",IF(E143=0,"",COUNTIFS(Log!$A$2:$A$5000,$A143,Log!$J$2:$J$5000,TRUE)/E143))</f>
        <v/>
      </c>
      <c r="G143">
        <f>IF($A143="","",SUMIF(Log!$A$2:$A$5000,$A143,Log!$H$2:$H$5000))</f>
        <v/>
      </c>
      <c r="H143">
        <f>IF($A143="","",COUNTIF(Fluency!$A$2:$A$5000,$A143))</f>
        <v/>
      </c>
      <c r="I143">
        <f>IF($A143="","",Students!E143)</f>
        <v/>
      </c>
    </row>
    <row r="144">
      <c r="A144">
        <f>IF(Students!A144="","",Students!A144)</f>
        <v/>
      </c>
      <c r="B144">
        <f>IF($A144="","",Students!B144)</f>
        <v/>
      </c>
      <c r="C144">
        <f>IF($A144="","",Students!C144)</f>
        <v/>
      </c>
      <c r="D144">
        <f>IF($A144="","",IFERROR(COUNTIF(INDEX(Progress!$E$2:$BK$200,MATCH($A144,Progress!$A$2:$A$200,0),0),TRUE),0))</f>
        <v/>
      </c>
      <c r="E144">
        <f>IF($A144="","",COUNTIF(Log!$A$2:$A$5000,$A144))</f>
        <v/>
      </c>
      <c r="F144" s="10">
        <f>IF($A144="","",IF(E144=0,"",COUNTIFS(Log!$A$2:$A$5000,$A144,Log!$J$2:$J$5000,TRUE)/E144))</f>
        <v/>
      </c>
      <c r="G144">
        <f>IF($A144="","",SUMIF(Log!$A$2:$A$5000,$A144,Log!$H$2:$H$5000))</f>
        <v/>
      </c>
      <c r="H144">
        <f>IF($A144="","",COUNTIF(Fluency!$A$2:$A$5000,$A144))</f>
        <v/>
      </c>
      <c r="I144">
        <f>IF($A144="","",Students!E144)</f>
        <v/>
      </c>
    </row>
    <row r="145">
      <c r="A145">
        <f>IF(Students!A145="","",Students!A145)</f>
        <v/>
      </c>
      <c r="B145">
        <f>IF($A145="","",Students!B145)</f>
        <v/>
      </c>
      <c r="C145">
        <f>IF($A145="","",Students!C145)</f>
        <v/>
      </c>
      <c r="D145">
        <f>IF($A145="","",IFERROR(COUNTIF(INDEX(Progress!$E$2:$BK$200,MATCH($A145,Progress!$A$2:$A$200,0),0),TRUE),0))</f>
        <v/>
      </c>
      <c r="E145">
        <f>IF($A145="","",COUNTIF(Log!$A$2:$A$5000,$A145))</f>
        <v/>
      </c>
      <c r="F145" s="10">
        <f>IF($A145="","",IF(E145=0,"",COUNTIFS(Log!$A$2:$A$5000,$A145,Log!$J$2:$J$5000,TRUE)/E145))</f>
        <v/>
      </c>
      <c r="G145">
        <f>IF($A145="","",SUMIF(Log!$A$2:$A$5000,$A145,Log!$H$2:$H$5000))</f>
        <v/>
      </c>
      <c r="H145">
        <f>IF($A145="","",COUNTIF(Fluency!$A$2:$A$5000,$A145))</f>
        <v/>
      </c>
      <c r="I145">
        <f>IF($A145="","",Students!E145)</f>
        <v/>
      </c>
    </row>
    <row r="146">
      <c r="A146">
        <f>IF(Students!A146="","",Students!A146)</f>
        <v/>
      </c>
      <c r="B146">
        <f>IF($A146="","",Students!B146)</f>
        <v/>
      </c>
      <c r="C146">
        <f>IF($A146="","",Students!C146)</f>
        <v/>
      </c>
      <c r="D146">
        <f>IF($A146="","",IFERROR(COUNTIF(INDEX(Progress!$E$2:$BK$200,MATCH($A146,Progress!$A$2:$A$200,0),0),TRUE),0))</f>
        <v/>
      </c>
      <c r="E146">
        <f>IF($A146="","",COUNTIF(Log!$A$2:$A$5000,$A146))</f>
        <v/>
      </c>
      <c r="F146" s="10">
        <f>IF($A146="","",IF(E146=0,"",COUNTIFS(Log!$A$2:$A$5000,$A146,Log!$J$2:$J$5000,TRUE)/E146))</f>
        <v/>
      </c>
      <c r="G146">
        <f>IF($A146="","",SUMIF(Log!$A$2:$A$5000,$A146,Log!$H$2:$H$5000))</f>
        <v/>
      </c>
      <c r="H146">
        <f>IF($A146="","",COUNTIF(Fluency!$A$2:$A$5000,$A146))</f>
        <v/>
      </c>
      <c r="I146">
        <f>IF($A146="","",Students!E146)</f>
        <v/>
      </c>
    </row>
    <row r="147">
      <c r="A147">
        <f>IF(Students!A147="","",Students!A147)</f>
        <v/>
      </c>
      <c r="B147">
        <f>IF($A147="","",Students!B147)</f>
        <v/>
      </c>
      <c r="C147">
        <f>IF($A147="","",Students!C147)</f>
        <v/>
      </c>
      <c r="D147">
        <f>IF($A147="","",IFERROR(COUNTIF(INDEX(Progress!$E$2:$BK$200,MATCH($A147,Progress!$A$2:$A$200,0),0),TRUE),0))</f>
        <v/>
      </c>
      <c r="E147">
        <f>IF($A147="","",COUNTIF(Log!$A$2:$A$5000,$A147))</f>
        <v/>
      </c>
      <c r="F147" s="10">
        <f>IF($A147="","",IF(E147=0,"",COUNTIFS(Log!$A$2:$A$5000,$A147,Log!$J$2:$J$5000,TRUE)/E147))</f>
        <v/>
      </c>
      <c r="G147">
        <f>IF($A147="","",SUMIF(Log!$A$2:$A$5000,$A147,Log!$H$2:$H$5000))</f>
        <v/>
      </c>
      <c r="H147">
        <f>IF($A147="","",COUNTIF(Fluency!$A$2:$A$5000,$A147))</f>
        <v/>
      </c>
      <c r="I147">
        <f>IF($A147="","",Students!E147)</f>
        <v/>
      </c>
    </row>
    <row r="148">
      <c r="A148">
        <f>IF(Students!A148="","",Students!A148)</f>
        <v/>
      </c>
      <c r="B148">
        <f>IF($A148="","",Students!B148)</f>
        <v/>
      </c>
      <c r="C148">
        <f>IF($A148="","",Students!C148)</f>
        <v/>
      </c>
      <c r="D148">
        <f>IF($A148="","",IFERROR(COUNTIF(INDEX(Progress!$E$2:$BK$200,MATCH($A148,Progress!$A$2:$A$200,0),0),TRUE),0))</f>
        <v/>
      </c>
      <c r="E148">
        <f>IF($A148="","",COUNTIF(Log!$A$2:$A$5000,$A148))</f>
        <v/>
      </c>
      <c r="F148" s="10">
        <f>IF($A148="","",IF(E148=0,"",COUNTIFS(Log!$A$2:$A$5000,$A148,Log!$J$2:$J$5000,TRUE)/E148))</f>
        <v/>
      </c>
      <c r="G148">
        <f>IF($A148="","",SUMIF(Log!$A$2:$A$5000,$A148,Log!$H$2:$H$5000))</f>
        <v/>
      </c>
      <c r="H148">
        <f>IF($A148="","",COUNTIF(Fluency!$A$2:$A$5000,$A148))</f>
        <v/>
      </c>
      <c r="I148">
        <f>IF($A148="","",Students!E148)</f>
        <v/>
      </c>
    </row>
    <row r="149">
      <c r="A149">
        <f>IF(Students!A149="","",Students!A149)</f>
        <v/>
      </c>
      <c r="B149">
        <f>IF($A149="","",Students!B149)</f>
        <v/>
      </c>
      <c r="C149">
        <f>IF($A149="","",Students!C149)</f>
        <v/>
      </c>
      <c r="D149">
        <f>IF($A149="","",IFERROR(COUNTIF(INDEX(Progress!$E$2:$BK$200,MATCH($A149,Progress!$A$2:$A$200,0),0),TRUE),0))</f>
        <v/>
      </c>
      <c r="E149">
        <f>IF($A149="","",COUNTIF(Log!$A$2:$A$5000,$A149))</f>
        <v/>
      </c>
      <c r="F149" s="10">
        <f>IF($A149="","",IF(E149=0,"",COUNTIFS(Log!$A$2:$A$5000,$A149,Log!$J$2:$J$5000,TRUE)/E149))</f>
        <v/>
      </c>
      <c r="G149">
        <f>IF($A149="","",SUMIF(Log!$A$2:$A$5000,$A149,Log!$H$2:$H$5000))</f>
        <v/>
      </c>
      <c r="H149">
        <f>IF($A149="","",COUNTIF(Fluency!$A$2:$A$5000,$A149))</f>
        <v/>
      </c>
      <c r="I149">
        <f>IF($A149="","",Students!E149)</f>
        <v/>
      </c>
    </row>
    <row r="150">
      <c r="A150">
        <f>IF(Students!A150="","",Students!A150)</f>
        <v/>
      </c>
      <c r="B150">
        <f>IF($A150="","",Students!B150)</f>
        <v/>
      </c>
      <c r="C150">
        <f>IF($A150="","",Students!C150)</f>
        <v/>
      </c>
      <c r="D150">
        <f>IF($A150="","",IFERROR(COUNTIF(INDEX(Progress!$E$2:$BK$200,MATCH($A150,Progress!$A$2:$A$200,0),0),TRUE),0))</f>
        <v/>
      </c>
      <c r="E150">
        <f>IF($A150="","",COUNTIF(Log!$A$2:$A$5000,$A150))</f>
        <v/>
      </c>
      <c r="F150" s="10">
        <f>IF($A150="","",IF(E150=0,"",COUNTIFS(Log!$A$2:$A$5000,$A150,Log!$J$2:$J$5000,TRUE)/E150))</f>
        <v/>
      </c>
      <c r="G150">
        <f>IF($A150="","",SUMIF(Log!$A$2:$A$5000,$A150,Log!$H$2:$H$5000))</f>
        <v/>
      </c>
      <c r="H150">
        <f>IF($A150="","",COUNTIF(Fluency!$A$2:$A$5000,$A150))</f>
        <v/>
      </c>
      <c r="I150">
        <f>IF($A150="","",Students!E150)</f>
        <v/>
      </c>
    </row>
    <row r="151">
      <c r="A151">
        <f>IF(Students!A151="","",Students!A151)</f>
        <v/>
      </c>
      <c r="B151">
        <f>IF($A151="","",Students!B151)</f>
        <v/>
      </c>
      <c r="C151">
        <f>IF($A151="","",Students!C151)</f>
        <v/>
      </c>
      <c r="D151">
        <f>IF($A151="","",IFERROR(COUNTIF(INDEX(Progress!$E$2:$BK$200,MATCH($A151,Progress!$A$2:$A$200,0),0),TRUE),0))</f>
        <v/>
      </c>
      <c r="E151">
        <f>IF($A151="","",COUNTIF(Log!$A$2:$A$5000,$A151))</f>
        <v/>
      </c>
      <c r="F151" s="10">
        <f>IF($A151="","",IF(E151=0,"",COUNTIFS(Log!$A$2:$A$5000,$A151,Log!$J$2:$J$5000,TRUE)/E151))</f>
        <v/>
      </c>
      <c r="G151">
        <f>IF($A151="","",SUMIF(Log!$A$2:$A$5000,$A151,Log!$H$2:$H$5000))</f>
        <v/>
      </c>
      <c r="H151">
        <f>IF($A151="","",COUNTIF(Fluency!$A$2:$A$5000,$A151))</f>
        <v/>
      </c>
      <c r="I151">
        <f>IF($A151="","",Students!E151)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7" t="inlineStr">
        <is>
          <t>StudentID</t>
        </is>
      </c>
      <c r="B1" s="7" t="inlineStr">
        <is>
          <t>unmatched</t>
        </is>
      </c>
      <c r="C1" s="7" t="inlineStr">
        <is>
          <t>sign-flipped</t>
        </is>
      </c>
      <c r="D1" s="7" t="inlineStr">
        <is>
          <t>sign-dropped</t>
        </is>
      </c>
      <c r="E1" s="7" t="inlineStr">
        <is>
          <t>wrong-winner</t>
        </is>
      </c>
      <c r="F1" s="7" t="inlineStr">
        <is>
          <t>uncombined</t>
        </is>
      </c>
      <c r="G1" s="7" t="inlineStr">
        <is>
          <t>invisible-one</t>
        </is>
      </c>
      <c r="H1" s="7" t="inlineStr">
        <is>
          <t>zero-term</t>
        </is>
      </c>
      <c r="I1" s="7" t="inlineStr">
        <is>
          <t>n-off</t>
        </is>
      </c>
      <c r="J1" s="7" t="inlineStr">
        <is>
          <t>x-off</t>
        </is>
      </c>
      <c r="K1" s="7" t="inlineStr">
        <is>
          <t>no-parens</t>
        </is>
      </c>
      <c r="L1" s="7" t="inlineStr">
        <is>
          <t>added</t>
        </is>
      </c>
      <c r="M1" s="7" t="inlineStr">
        <is>
          <t>neg-neg</t>
        </is>
      </c>
      <c r="N1" s="7" t="inlineStr">
        <is>
          <t>sign-lost</t>
        </is>
      </c>
      <c r="O1" s="7" t="inlineStr">
        <is>
          <t>dist-one</t>
        </is>
      </c>
      <c r="P1" s="7" t="inlineStr">
        <is>
          <t>inside-sign-lost</t>
        </is>
      </c>
      <c r="Q1" s="7" t="inlineStr">
        <is>
          <t>neg-first</t>
        </is>
      </c>
      <c r="R1" s="7" t="inlineStr">
        <is>
          <t>outer-as-term</t>
        </is>
      </c>
    </row>
    <row r="2">
      <c r="A2" s="8">
        <f>IF(Students!A2="","",Students!A2)</f>
        <v/>
      </c>
      <c r="B2" s="8">
        <f>IF($A2="","",COUNTIFS(Log!$A$2:$A$5000,$A2,Log!$F$2:$F$5000,"*→ "&amp;B$1&amp;"*"))</f>
        <v/>
      </c>
      <c r="C2" s="8">
        <f>IF($A2="","",COUNTIFS(Log!$A$2:$A$5000,$A2,Log!$F$2:$F$5000,"*→ "&amp;C$1&amp;"*"))</f>
        <v/>
      </c>
      <c r="D2" s="8">
        <f>IF($A2="","",COUNTIFS(Log!$A$2:$A$5000,$A2,Log!$F$2:$F$5000,"*→ "&amp;D$1&amp;"*"))</f>
        <v/>
      </c>
      <c r="E2" s="8">
        <f>IF($A2="","",COUNTIFS(Log!$A$2:$A$5000,$A2,Log!$F$2:$F$5000,"*→ "&amp;E$1&amp;"*"))</f>
        <v/>
      </c>
      <c r="F2" s="8">
        <f>IF($A2="","",COUNTIFS(Log!$A$2:$A$5000,$A2,Log!$F$2:$F$5000,"*→ "&amp;F$1&amp;"*"))</f>
        <v/>
      </c>
      <c r="G2" s="8">
        <f>IF($A2="","",COUNTIFS(Log!$A$2:$A$5000,$A2,Log!$F$2:$F$5000,"*→ "&amp;G$1&amp;"*"))</f>
        <v/>
      </c>
      <c r="H2" s="8">
        <f>IF($A2="","",COUNTIFS(Log!$A$2:$A$5000,$A2,Log!$F$2:$F$5000,"*→ "&amp;H$1&amp;"*"))</f>
        <v/>
      </c>
      <c r="I2" s="8">
        <f>IF($A2="","",COUNTIFS(Log!$A$2:$A$5000,$A2,Log!$F$2:$F$5000,"*→ "&amp;I$1&amp;"*"))</f>
        <v/>
      </c>
      <c r="J2" s="8">
        <f>IF($A2="","",COUNTIFS(Log!$A$2:$A$5000,$A2,Log!$F$2:$F$5000,"*→ "&amp;J$1&amp;"*"))</f>
        <v/>
      </c>
      <c r="K2" s="8">
        <f>IF($A2="","",COUNTIFS(Log!$A$2:$A$5000,$A2,Log!$F$2:$F$5000,"*→ "&amp;K$1&amp;"*"))</f>
        <v/>
      </c>
      <c r="L2" s="8">
        <f>IF($A2="","",COUNTIFS(Log!$A$2:$A$5000,$A2,Log!$F$2:$F$5000,"*→ "&amp;L$1&amp;"*"))</f>
        <v/>
      </c>
      <c r="M2" s="8">
        <f>IF($A2="","",COUNTIFS(Log!$A$2:$A$5000,$A2,Log!$F$2:$F$5000,"*→ "&amp;M$1&amp;"*"))</f>
        <v/>
      </c>
      <c r="N2" s="8">
        <f>IF($A2="","",COUNTIFS(Log!$A$2:$A$5000,$A2,Log!$F$2:$F$5000,"*→ "&amp;N$1&amp;"*"))</f>
        <v/>
      </c>
      <c r="O2" s="8">
        <f>IF($A2="","",COUNTIFS(Log!$A$2:$A$5000,$A2,Log!$F$2:$F$5000,"*→ "&amp;O$1&amp;"*"))</f>
        <v/>
      </c>
      <c r="P2" s="8">
        <f>IF($A2="","",COUNTIFS(Log!$A$2:$A$5000,$A2,Log!$F$2:$F$5000,"*→ "&amp;P$1&amp;"*"))</f>
        <v/>
      </c>
      <c r="Q2" s="8">
        <f>IF($A2="","",COUNTIFS(Log!$A$2:$A$5000,$A2,Log!$F$2:$F$5000,"*→ "&amp;Q$1&amp;"*"))</f>
        <v/>
      </c>
      <c r="R2" s="8">
        <f>IF($A2="","",COUNTIFS(Log!$A$2:$A$5000,$A2,Log!$F$2:$F$5000,"*→ "&amp;R$1&amp;"*"))</f>
        <v/>
      </c>
    </row>
    <row r="3">
      <c r="A3" s="8">
        <f>IF(Students!A3="","",Students!A3)</f>
        <v/>
      </c>
      <c r="B3" s="8">
        <f>IF($A3="","",COUNTIFS(Log!$A$2:$A$5000,$A3,Log!$F$2:$F$5000,"*→ "&amp;B$1&amp;"*"))</f>
        <v/>
      </c>
      <c r="C3" s="8">
        <f>IF($A3="","",COUNTIFS(Log!$A$2:$A$5000,$A3,Log!$F$2:$F$5000,"*→ "&amp;C$1&amp;"*"))</f>
        <v/>
      </c>
      <c r="D3" s="8">
        <f>IF($A3="","",COUNTIFS(Log!$A$2:$A$5000,$A3,Log!$F$2:$F$5000,"*→ "&amp;D$1&amp;"*"))</f>
        <v/>
      </c>
      <c r="E3" s="8">
        <f>IF($A3="","",COUNTIFS(Log!$A$2:$A$5000,$A3,Log!$F$2:$F$5000,"*→ "&amp;E$1&amp;"*"))</f>
        <v/>
      </c>
      <c r="F3" s="8">
        <f>IF($A3="","",COUNTIFS(Log!$A$2:$A$5000,$A3,Log!$F$2:$F$5000,"*→ "&amp;F$1&amp;"*"))</f>
        <v/>
      </c>
      <c r="G3" s="8">
        <f>IF($A3="","",COUNTIFS(Log!$A$2:$A$5000,$A3,Log!$F$2:$F$5000,"*→ "&amp;G$1&amp;"*"))</f>
        <v/>
      </c>
      <c r="H3" s="8">
        <f>IF($A3="","",COUNTIFS(Log!$A$2:$A$5000,$A3,Log!$F$2:$F$5000,"*→ "&amp;H$1&amp;"*"))</f>
        <v/>
      </c>
      <c r="I3" s="8">
        <f>IF($A3="","",COUNTIFS(Log!$A$2:$A$5000,$A3,Log!$F$2:$F$5000,"*→ "&amp;I$1&amp;"*"))</f>
        <v/>
      </c>
      <c r="J3" s="8">
        <f>IF($A3="","",COUNTIFS(Log!$A$2:$A$5000,$A3,Log!$F$2:$F$5000,"*→ "&amp;J$1&amp;"*"))</f>
        <v/>
      </c>
      <c r="K3" s="8">
        <f>IF($A3="","",COUNTIFS(Log!$A$2:$A$5000,$A3,Log!$F$2:$F$5000,"*→ "&amp;K$1&amp;"*"))</f>
        <v/>
      </c>
      <c r="L3" s="8">
        <f>IF($A3="","",COUNTIFS(Log!$A$2:$A$5000,$A3,Log!$F$2:$F$5000,"*→ "&amp;L$1&amp;"*"))</f>
        <v/>
      </c>
      <c r="M3" s="8">
        <f>IF($A3="","",COUNTIFS(Log!$A$2:$A$5000,$A3,Log!$F$2:$F$5000,"*→ "&amp;M$1&amp;"*"))</f>
        <v/>
      </c>
      <c r="N3" s="8">
        <f>IF($A3="","",COUNTIFS(Log!$A$2:$A$5000,$A3,Log!$F$2:$F$5000,"*→ "&amp;N$1&amp;"*"))</f>
        <v/>
      </c>
      <c r="O3" s="8">
        <f>IF($A3="","",COUNTIFS(Log!$A$2:$A$5000,$A3,Log!$F$2:$F$5000,"*→ "&amp;O$1&amp;"*"))</f>
        <v/>
      </c>
      <c r="P3" s="8">
        <f>IF($A3="","",COUNTIFS(Log!$A$2:$A$5000,$A3,Log!$F$2:$F$5000,"*→ "&amp;P$1&amp;"*"))</f>
        <v/>
      </c>
      <c r="Q3" s="8">
        <f>IF($A3="","",COUNTIFS(Log!$A$2:$A$5000,$A3,Log!$F$2:$F$5000,"*→ "&amp;Q$1&amp;"*"))</f>
        <v/>
      </c>
      <c r="R3" s="8">
        <f>IF($A3="","",COUNTIFS(Log!$A$2:$A$5000,$A3,Log!$F$2:$F$5000,"*→ "&amp;R$1&amp;"*"))</f>
        <v/>
      </c>
    </row>
    <row r="4">
      <c r="A4" s="8">
        <f>IF(Students!A4="","",Students!A4)</f>
        <v/>
      </c>
      <c r="B4" s="8">
        <f>IF($A4="","",COUNTIFS(Log!$A$2:$A$5000,$A4,Log!$F$2:$F$5000,"*→ "&amp;B$1&amp;"*"))</f>
        <v/>
      </c>
      <c r="C4" s="8">
        <f>IF($A4="","",COUNTIFS(Log!$A$2:$A$5000,$A4,Log!$F$2:$F$5000,"*→ "&amp;C$1&amp;"*"))</f>
        <v/>
      </c>
      <c r="D4" s="8">
        <f>IF($A4="","",COUNTIFS(Log!$A$2:$A$5000,$A4,Log!$F$2:$F$5000,"*→ "&amp;D$1&amp;"*"))</f>
        <v/>
      </c>
      <c r="E4" s="8">
        <f>IF($A4="","",COUNTIFS(Log!$A$2:$A$5000,$A4,Log!$F$2:$F$5000,"*→ "&amp;E$1&amp;"*"))</f>
        <v/>
      </c>
      <c r="F4" s="8">
        <f>IF($A4="","",COUNTIFS(Log!$A$2:$A$5000,$A4,Log!$F$2:$F$5000,"*→ "&amp;F$1&amp;"*"))</f>
        <v/>
      </c>
      <c r="G4" s="8">
        <f>IF($A4="","",COUNTIFS(Log!$A$2:$A$5000,$A4,Log!$F$2:$F$5000,"*→ "&amp;G$1&amp;"*"))</f>
        <v/>
      </c>
      <c r="H4" s="8">
        <f>IF($A4="","",COUNTIFS(Log!$A$2:$A$5000,$A4,Log!$F$2:$F$5000,"*→ "&amp;H$1&amp;"*"))</f>
        <v/>
      </c>
      <c r="I4" s="8">
        <f>IF($A4="","",COUNTIFS(Log!$A$2:$A$5000,$A4,Log!$F$2:$F$5000,"*→ "&amp;I$1&amp;"*"))</f>
        <v/>
      </c>
      <c r="J4" s="8">
        <f>IF($A4="","",COUNTIFS(Log!$A$2:$A$5000,$A4,Log!$F$2:$F$5000,"*→ "&amp;J$1&amp;"*"))</f>
        <v/>
      </c>
      <c r="K4" s="8">
        <f>IF($A4="","",COUNTIFS(Log!$A$2:$A$5000,$A4,Log!$F$2:$F$5000,"*→ "&amp;K$1&amp;"*"))</f>
        <v/>
      </c>
      <c r="L4" s="8">
        <f>IF($A4="","",COUNTIFS(Log!$A$2:$A$5000,$A4,Log!$F$2:$F$5000,"*→ "&amp;L$1&amp;"*"))</f>
        <v/>
      </c>
      <c r="M4" s="8">
        <f>IF($A4="","",COUNTIFS(Log!$A$2:$A$5000,$A4,Log!$F$2:$F$5000,"*→ "&amp;M$1&amp;"*"))</f>
        <v/>
      </c>
      <c r="N4" s="8">
        <f>IF($A4="","",COUNTIFS(Log!$A$2:$A$5000,$A4,Log!$F$2:$F$5000,"*→ "&amp;N$1&amp;"*"))</f>
        <v/>
      </c>
      <c r="O4" s="8">
        <f>IF($A4="","",COUNTIFS(Log!$A$2:$A$5000,$A4,Log!$F$2:$F$5000,"*→ "&amp;O$1&amp;"*"))</f>
        <v/>
      </c>
      <c r="P4" s="8">
        <f>IF($A4="","",COUNTIFS(Log!$A$2:$A$5000,$A4,Log!$F$2:$F$5000,"*→ "&amp;P$1&amp;"*"))</f>
        <v/>
      </c>
      <c r="Q4" s="8">
        <f>IF($A4="","",COUNTIFS(Log!$A$2:$A$5000,$A4,Log!$F$2:$F$5000,"*→ "&amp;Q$1&amp;"*"))</f>
        <v/>
      </c>
      <c r="R4" s="8">
        <f>IF($A4="","",COUNTIFS(Log!$A$2:$A$5000,$A4,Log!$F$2:$F$5000,"*→ "&amp;R$1&amp;"*"))</f>
        <v/>
      </c>
    </row>
    <row r="5">
      <c r="A5" s="8">
        <f>IF(Students!A5="","",Students!A5)</f>
        <v/>
      </c>
      <c r="B5" s="8">
        <f>IF($A5="","",COUNTIFS(Log!$A$2:$A$5000,$A5,Log!$F$2:$F$5000,"*→ "&amp;B$1&amp;"*"))</f>
        <v/>
      </c>
      <c r="C5" s="8">
        <f>IF($A5="","",COUNTIFS(Log!$A$2:$A$5000,$A5,Log!$F$2:$F$5000,"*→ "&amp;C$1&amp;"*"))</f>
        <v/>
      </c>
      <c r="D5" s="8">
        <f>IF($A5="","",COUNTIFS(Log!$A$2:$A$5000,$A5,Log!$F$2:$F$5000,"*→ "&amp;D$1&amp;"*"))</f>
        <v/>
      </c>
      <c r="E5" s="8">
        <f>IF($A5="","",COUNTIFS(Log!$A$2:$A$5000,$A5,Log!$F$2:$F$5000,"*→ "&amp;E$1&amp;"*"))</f>
        <v/>
      </c>
      <c r="F5" s="8">
        <f>IF($A5="","",COUNTIFS(Log!$A$2:$A$5000,$A5,Log!$F$2:$F$5000,"*→ "&amp;F$1&amp;"*"))</f>
        <v/>
      </c>
      <c r="G5" s="8">
        <f>IF($A5="","",COUNTIFS(Log!$A$2:$A$5000,$A5,Log!$F$2:$F$5000,"*→ "&amp;G$1&amp;"*"))</f>
        <v/>
      </c>
      <c r="H5" s="8">
        <f>IF($A5="","",COUNTIFS(Log!$A$2:$A$5000,$A5,Log!$F$2:$F$5000,"*→ "&amp;H$1&amp;"*"))</f>
        <v/>
      </c>
      <c r="I5" s="8">
        <f>IF($A5="","",COUNTIFS(Log!$A$2:$A$5000,$A5,Log!$F$2:$F$5000,"*→ "&amp;I$1&amp;"*"))</f>
        <v/>
      </c>
      <c r="J5" s="8">
        <f>IF($A5="","",COUNTIFS(Log!$A$2:$A$5000,$A5,Log!$F$2:$F$5000,"*→ "&amp;J$1&amp;"*"))</f>
        <v/>
      </c>
      <c r="K5" s="8">
        <f>IF($A5="","",COUNTIFS(Log!$A$2:$A$5000,$A5,Log!$F$2:$F$5000,"*→ "&amp;K$1&amp;"*"))</f>
        <v/>
      </c>
      <c r="L5" s="8">
        <f>IF($A5="","",COUNTIFS(Log!$A$2:$A$5000,$A5,Log!$F$2:$F$5000,"*→ "&amp;L$1&amp;"*"))</f>
        <v/>
      </c>
      <c r="M5" s="8">
        <f>IF($A5="","",COUNTIFS(Log!$A$2:$A$5000,$A5,Log!$F$2:$F$5000,"*→ "&amp;M$1&amp;"*"))</f>
        <v/>
      </c>
      <c r="N5" s="8">
        <f>IF($A5="","",COUNTIFS(Log!$A$2:$A$5000,$A5,Log!$F$2:$F$5000,"*→ "&amp;N$1&amp;"*"))</f>
        <v/>
      </c>
      <c r="O5" s="8">
        <f>IF($A5="","",COUNTIFS(Log!$A$2:$A$5000,$A5,Log!$F$2:$F$5000,"*→ "&amp;O$1&amp;"*"))</f>
        <v/>
      </c>
      <c r="P5" s="8">
        <f>IF($A5="","",COUNTIFS(Log!$A$2:$A$5000,$A5,Log!$F$2:$F$5000,"*→ "&amp;P$1&amp;"*"))</f>
        <v/>
      </c>
      <c r="Q5" s="8">
        <f>IF($A5="","",COUNTIFS(Log!$A$2:$A$5000,$A5,Log!$F$2:$F$5000,"*→ "&amp;Q$1&amp;"*"))</f>
        <v/>
      </c>
      <c r="R5" s="8">
        <f>IF($A5="","",COUNTIFS(Log!$A$2:$A$5000,$A5,Log!$F$2:$F$5000,"*→ "&amp;R$1&amp;"*"))</f>
        <v/>
      </c>
    </row>
    <row r="6">
      <c r="A6" s="8">
        <f>IF(Students!A6="","",Students!A6)</f>
        <v/>
      </c>
      <c r="B6" s="8">
        <f>IF($A6="","",COUNTIFS(Log!$A$2:$A$5000,$A6,Log!$F$2:$F$5000,"*→ "&amp;B$1&amp;"*"))</f>
        <v/>
      </c>
      <c r="C6" s="8">
        <f>IF($A6="","",COUNTIFS(Log!$A$2:$A$5000,$A6,Log!$F$2:$F$5000,"*→ "&amp;C$1&amp;"*"))</f>
        <v/>
      </c>
      <c r="D6" s="8">
        <f>IF($A6="","",COUNTIFS(Log!$A$2:$A$5000,$A6,Log!$F$2:$F$5000,"*→ "&amp;D$1&amp;"*"))</f>
        <v/>
      </c>
      <c r="E6" s="8">
        <f>IF($A6="","",COUNTIFS(Log!$A$2:$A$5000,$A6,Log!$F$2:$F$5000,"*→ "&amp;E$1&amp;"*"))</f>
        <v/>
      </c>
      <c r="F6" s="8">
        <f>IF($A6="","",COUNTIFS(Log!$A$2:$A$5000,$A6,Log!$F$2:$F$5000,"*→ "&amp;F$1&amp;"*"))</f>
        <v/>
      </c>
      <c r="G6" s="8">
        <f>IF($A6="","",COUNTIFS(Log!$A$2:$A$5000,$A6,Log!$F$2:$F$5000,"*→ "&amp;G$1&amp;"*"))</f>
        <v/>
      </c>
      <c r="H6" s="8">
        <f>IF($A6="","",COUNTIFS(Log!$A$2:$A$5000,$A6,Log!$F$2:$F$5000,"*→ "&amp;H$1&amp;"*"))</f>
        <v/>
      </c>
      <c r="I6" s="8">
        <f>IF($A6="","",COUNTIFS(Log!$A$2:$A$5000,$A6,Log!$F$2:$F$5000,"*→ "&amp;I$1&amp;"*"))</f>
        <v/>
      </c>
      <c r="J6" s="8">
        <f>IF($A6="","",COUNTIFS(Log!$A$2:$A$5000,$A6,Log!$F$2:$F$5000,"*→ "&amp;J$1&amp;"*"))</f>
        <v/>
      </c>
      <c r="K6" s="8">
        <f>IF($A6="","",COUNTIFS(Log!$A$2:$A$5000,$A6,Log!$F$2:$F$5000,"*→ "&amp;K$1&amp;"*"))</f>
        <v/>
      </c>
      <c r="L6" s="8">
        <f>IF($A6="","",COUNTIFS(Log!$A$2:$A$5000,$A6,Log!$F$2:$F$5000,"*→ "&amp;L$1&amp;"*"))</f>
        <v/>
      </c>
      <c r="M6" s="8">
        <f>IF($A6="","",COUNTIFS(Log!$A$2:$A$5000,$A6,Log!$F$2:$F$5000,"*→ "&amp;M$1&amp;"*"))</f>
        <v/>
      </c>
      <c r="N6" s="8">
        <f>IF($A6="","",COUNTIFS(Log!$A$2:$A$5000,$A6,Log!$F$2:$F$5000,"*→ "&amp;N$1&amp;"*"))</f>
        <v/>
      </c>
      <c r="O6" s="8">
        <f>IF($A6="","",COUNTIFS(Log!$A$2:$A$5000,$A6,Log!$F$2:$F$5000,"*→ "&amp;O$1&amp;"*"))</f>
        <v/>
      </c>
      <c r="P6" s="8">
        <f>IF($A6="","",COUNTIFS(Log!$A$2:$A$5000,$A6,Log!$F$2:$F$5000,"*→ "&amp;P$1&amp;"*"))</f>
        <v/>
      </c>
      <c r="Q6" s="8">
        <f>IF($A6="","",COUNTIFS(Log!$A$2:$A$5000,$A6,Log!$F$2:$F$5000,"*→ "&amp;Q$1&amp;"*"))</f>
        <v/>
      </c>
      <c r="R6" s="8">
        <f>IF($A6="","",COUNTIFS(Log!$A$2:$A$5000,$A6,Log!$F$2:$F$5000,"*→ "&amp;R$1&amp;"*"))</f>
        <v/>
      </c>
    </row>
    <row r="7">
      <c r="A7" s="8">
        <f>IF(Students!A7="","",Students!A7)</f>
        <v/>
      </c>
      <c r="B7" s="8">
        <f>IF($A7="","",COUNTIFS(Log!$A$2:$A$5000,$A7,Log!$F$2:$F$5000,"*→ "&amp;B$1&amp;"*"))</f>
        <v/>
      </c>
      <c r="C7" s="8">
        <f>IF($A7="","",COUNTIFS(Log!$A$2:$A$5000,$A7,Log!$F$2:$F$5000,"*→ "&amp;C$1&amp;"*"))</f>
        <v/>
      </c>
      <c r="D7" s="8">
        <f>IF($A7="","",COUNTIFS(Log!$A$2:$A$5000,$A7,Log!$F$2:$F$5000,"*→ "&amp;D$1&amp;"*"))</f>
        <v/>
      </c>
      <c r="E7" s="8">
        <f>IF($A7="","",COUNTIFS(Log!$A$2:$A$5000,$A7,Log!$F$2:$F$5000,"*→ "&amp;E$1&amp;"*"))</f>
        <v/>
      </c>
      <c r="F7" s="8">
        <f>IF($A7="","",COUNTIFS(Log!$A$2:$A$5000,$A7,Log!$F$2:$F$5000,"*→ "&amp;F$1&amp;"*"))</f>
        <v/>
      </c>
      <c r="G7" s="8">
        <f>IF($A7="","",COUNTIFS(Log!$A$2:$A$5000,$A7,Log!$F$2:$F$5000,"*→ "&amp;G$1&amp;"*"))</f>
        <v/>
      </c>
      <c r="H7" s="8">
        <f>IF($A7="","",COUNTIFS(Log!$A$2:$A$5000,$A7,Log!$F$2:$F$5000,"*→ "&amp;H$1&amp;"*"))</f>
        <v/>
      </c>
      <c r="I7" s="8">
        <f>IF($A7="","",COUNTIFS(Log!$A$2:$A$5000,$A7,Log!$F$2:$F$5000,"*→ "&amp;I$1&amp;"*"))</f>
        <v/>
      </c>
      <c r="J7" s="8">
        <f>IF($A7="","",COUNTIFS(Log!$A$2:$A$5000,$A7,Log!$F$2:$F$5000,"*→ "&amp;J$1&amp;"*"))</f>
        <v/>
      </c>
      <c r="K7" s="8">
        <f>IF($A7="","",COUNTIFS(Log!$A$2:$A$5000,$A7,Log!$F$2:$F$5000,"*→ "&amp;K$1&amp;"*"))</f>
        <v/>
      </c>
      <c r="L7" s="8">
        <f>IF($A7="","",COUNTIFS(Log!$A$2:$A$5000,$A7,Log!$F$2:$F$5000,"*→ "&amp;L$1&amp;"*"))</f>
        <v/>
      </c>
      <c r="M7" s="8">
        <f>IF($A7="","",COUNTIFS(Log!$A$2:$A$5000,$A7,Log!$F$2:$F$5000,"*→ "&amp;M$1&amp;"*"))</f>
        <v/>
      </c>
      <c r="N7" s="8">
        <f>IF($A7="","",COUNTIFS(Log!$A$2:$A$5000,$A7,Log!$F$2:$F$5000,"*→ "&amp;N$1&amp;"*"))</f>
        <v/>
      </c>
      <c r="O7" s="8">
        <f>IF($A7="","",COUNTIFS(Log!$A$2:$A$5000,$A7,Log!$F$2:$F$5000,"*→ "&amp;O$1&amp;"*"))</f>
        <v/>
      </c>
      <c r="P7" s="8">
        <f>IF($A7="","",COUNTIFS(Log!$A$2:$A$5000,$A7,Log!$F$2:$F$5000,"*→ "&amp;P$1&amp;"*"))</f>
        <v/>
      </c>
      <c r="Q7" s="8">
        <f>IF($A7="","",COUNTIFS(Log!$A$2:$A$5000,$A7,Log!$F$2:$F$5000,"*→ "&amp;Q$1&amp;"*"))</f>
        <v/>
      </c>
      <c r="R7" s="8">
        <f>IF($A7="","",COUNTIFS(Log!$A$2:$A$5000,$A7,Log!$F$2:$F$5000,"*→ "&amp;R$1&amp;"*"))</f>
        <v/>
      </c>
    </row>
    <row r="8">
      <c r="A8" s="8">
        <f>IF(Students!A8="","",Students!A8)</f>
        <v/>
      </c>
      <c r="B8" s="8">
        <f>IF($A8="","",COUNTIFS(Log!$A$2:$A$5000,$A8,Log!$F$2:$F$5000,"*→ "&amp;B$1&amp;"*"))</f>
        <v/>
      </c>
      <c r="C8" s="8">
        <f>IF($A8="","",COUNTIFS(Log!$A$2:$A$5000,$A8,Log!$F$2:$F$5000,"*→ "&amp;C$1&amp;"*"))</f>
        <v/>
      </c>
      <c r="D8" s="8">
        <f>IF($A8="","",COUNTIFS(Log!$A$2:$A$5000,$A8,Log!$F$2:$F$5000,"*→ "&amp;D$1&amp;"*"))</f>
        <v/>
      </c>
      <c r="E8" s="8">
        <f>IF($A8="","",COUNTIFS(Log!$A$2:$A$5000,$A8,Log!$F$2:$F$5000,"*→ "&amp;E$1&amp;"*"))</f>
        <v/>
      </c>
      <c r="F8" s="8">
        <f>IF($A8="","",COUNTIFS(Log!$A$2:$A$5000,$A8,Log!$F$2:$F$5000,"*→ "&amp;F$1&amp;"*"))</f>
        <v/>
      </c>
      <c r="G8" s="8">
        <f>IF($A8="","",COUNTIFS(Log!$A$2:$A$5000,$A8,Log!$F$2:$F$5000,"*→ "&amp;G$1&amp;"*"))</f>
        <v/>
      </c>
      <c r="H8" s="8">
        <f>IF($A8="","",COUNTIFS(Log!$A$2:$A$5000,$A8,Log!$F$2:$F$5000,"*→ "&amp;H$1&amp;"*"))</f>
        <v/>
      </c>
      <c r="I8" s="8">
        <f>IF($A8="","",COUNTIFS(Log!$A$2:$A$5000,$A8,Log!$F$2:$F$5000,"*→ "&amp;I$1&amp;"*"))</f>
        <v/>
      </c>
      <c r="J8" s="8">
        <f>IF($A8="","",COUNTIFS(Log!$A$2:$A$5000,$A8,Log!$F$2:$F$5000,"*→ "&amp;J$1&amp;"*"))</f>
        <v/>
      </c>
      <c r="K8" s="8">
        <f>IF($A8="","",COUNTIFS(Log!$A$2:$A$5000,$A8,Log!$F$2:$F$5000,"*→ "&amp;K$1&amp;"*"))</f>
        <v/>
      </c>
      <c r="L8" s="8">
        <f>IF($A8="","",COUNTIFS(Log!$A$2:$A$5000,$A8,Log!$F$2:$F$5000,"*→ "&amp;L$1&amp;"*"))</f>
        <v/>
      </c>
      <c r="M8" s="8">
        <f>IF($A8="","",COUNTIFS(Log!$A$2:$A$5000,$A8,Log!$F$2:$F$5000,"*→ "&amp;M$1&amp;"*"))</f>
        <v/>
      </c>
      <c r="N8" s="8">
        <f>IF($A8="","",COUNTIFS(Log!$A$2:$A$5000,$A8,Log!$F$2:$F$5000,"*→ "&amp;N$1&amp;"*"))</f>
        <v/>
      </c>
      <c r="O8" s="8">
        <f>IF($A8="","",COUNTIFS(Log!$A$2:$A$5000,$A8,Log!$F$2:$F$5000,"*→ "&amp;O$1&amp;"*"))</f>
        <v/>
      </c>
      <c r="P8" s="8">
        <f>IF($A8="","",COUNTIFS(Log!$A$2:$A$5000,$A8,Log!$F$2:$F$5000,"*→ "&amp;P$1&amp;"*"))</f>
        <v/>
      </c>
      <c r="Q8" s="8">
        <f>IF($A8="","",COUNTIFS(Log!$A$2:$A$5000,$A8,Log!$F$2:$F$5000,"*→ "&amp;Q$1&amp;"*"))</f>
        <v/>
      </c>
      <c r="R8" s="8">
        <f>IF($A8="","",COUNTIFS(Log!$A$2:$A$5000,$A8,Log!$F$2:$F$5000,"*→ "&amp;R$1&amp;"*"))</f>
        <v/>
      </c>
    </row>
    <row r="9">
      <c r="A9" s="8">
        <f>IF(Students!A9="","",Students!A9)</f>
        <v/>
      </c>
      <c r="B9" s="8">
        <f>IF($A9="","",COUNTIFS(Log!$A$2:$A$5000,$A9,Log!$F$2:$F$5000,"*→ "&amp;B$1&amp;"*"))</f>
        <v/>
      </c>
      <c r="C9" s="8">
        <f>IF($A9="","",COUNTIFS(Log!$A$2:$A$5000,$A9,Log!$F$2:$F$5000,"*→ "&amp;C$1&amp;"*"))</f>
        <v/>
      </c>
      <c r="D9" s="8">
        <f>IF($A9="","",COUNTIFS(Log!$A$2:$A$5000,$A9,Log!$F$2:$F$5000,"*→ "&amp;D$1&amp;"*"))</f>
        <v/>
      </c>
      <c r="E9" s="8">
        <f>IF($A9="","",COUNTIFS(Log!$A$2:$A$5000,$A9,Log!$F$2:$F$5000,"*→ "&amp;E$1&amp;"*"))</f>
        <v/>
      </c>
      <c r="F9" s="8">
        <f>IF($A9="","",COUNTIFS(Log!$A$2:$A$5000,$A9,Log!$F$2:$F$5000,"*→ "&amp;F$1&amp;"*"))</f>
        <v/>
      </c>
      <c r="G9" s="8">
        <f>IF($A9="","",COUNTIFS(Log!$A$2:$A$5000,$A9,Log!$F$2:$F$5000,"*→ "&amp;G$1&amp;"*"))</f>
        <v/>
      </c>
      <c r="H9" s="8">
        <f>IF($A9="","",COUNTIFS(Log!$A$2:$A$5000,$A9,Log!$F$2:$F$5000,"*→ "&amp;H$1&amp;"*"))</f>
        <v/>
      </c>
      <c r="I9" s="8">
        <f>IF($A9="","",COUNTIFS(Log!$A$2:$A$5000,$A9,Log!$F$2:$F$5000,"*→ "&amp;I$1&amp;"*"))</f>
        <v/>
      </c>
      <c r="J9" s="8">
        <f>IF($A9="","",COUNTIFS(Log!$A$2:$A$5000,$A9,Log!$F$2:$F$5000,"*→ "&amp;J$1&amp;"*"))</f>
        <v/>
      </c>
      <c r="K9" s="8">
        <f>IF($A9="","",COUNTIFS(Log!$A$2:$A$5000,$A9,Log!$F$2:$F$5000,"*→ "&amp;K$1&amp;"*"))</f>
        <v/>
      </c>
      <c r="L9" s="8">
        <f>IF($A9="","",COUNTIFS(Log!$A$2:$A$5000,$A9,Log!$F$2:$F$5000,"*→ "&amp;L$1&amp;"*"))</f>
        <v/>
      </c>
      <c r="M9" s="8">
        <f>IF($A9="","",COUNTIFS(Log!$A$2:$A$5000,$A9,Log!$F$2:$F$5000,"*→ "&amp;M$1&amp;"*"))</f>
        <v/>
      </c>
      <c r="N9" s="8">
        <f>IF($A9="","",COUNTIFS(Log!$A$2:$A$5000,$A9,Log!$F$2:$F$5000,"*→ "&amp;N$1&amp;"*"))</f>
        <v/>
      </c>
      <c r="O9" s="8">
        <f>IF($A9="","",COUNTIFS(Log!$A$2:$A$5000,$A9,Log!$F$2:$F$5000,"*→ "&amp;O$1&amp;"*"))</f>
        <v/>
      </c>
      <c r="P9" s="8">
        <f>IF($A9="","",COUNTIFS(Log!$A$2:$A$5000,$A9,Log!$F$2:$F$5000,"*→ "&amp;P$1&amp;"*"))</f>
        <v/>
      </c>
      <c r="Q9" s="8">
        <f>IF($A9="","",COUNTIFS(Log!$A$2:$A$5000,$A9,Log!$F$2:$F$5000,"*→ "&amp;Q$1&amp;"*"))</f>
        <v/>
      </c>
      <c r="R9" s="8">
        <f>IF($A9="","",COUNTIFS(Log!$A$2:$A$5000,$A9,Log!$F$2:$F$5000,"*→ "&amp;R$1&amp;"*"))</f>
        <v/>
      </c>
    </row>
    <row r="10">
      <c r="A10" s="8">
        <f>IF(Students!A10="","",Students!A10)</f>
        <v/>
      </c>
      <c r="B10" s="8">
        <f>IF($A10="","",COUNTIFS(Log!$A$2:$A$5000,$A10,Log!$F$2:$F$5000,"*→ "&amp;B$1&amp;"*"))</f>
        <v/>
      </c>
      <c r="C10" s="8">
        <f>IF($A10="","",COUNTIFS(Log!$A$2:$A$5000,$A10,Log!$F$2:$F$5000,"*→ "&amp;C$1&amp;"*"))</f>
        <v/>
      </c>
      <c r="D10" s="8">
        <f>IF($A10="","",COUNTIFS(Log!$A$2:$A$5000,$A10,Log!$F$2:$F$5000,"*→ "&amp;D$1&amp;"*"))</f>
        <v/>
      </c>
      <c r="E10" s="8">
        <f>IF($A10="","",COUNTIFS(Log!$A$2:$A$5000,$A10,Log!$F$2:$F$5000,"*→ "&amp;E$1&amp;"*"))</f>
        <v/>
      </c>
      <c r="F10" s="8">
        <f>IF($A10="","",COUNTIFS(Log!$A$2:$A$5000,$A10,Log!$F$2:$F$5000,"*→ "&amp;F$1&amp;"*"))</f>
        <v/>
      </c>
      <c r="G10" s="8">
        <f>IF($A10="","",COUNTIFS(Log!$A$2:$A$5000,$A10,Log!$F$2:$F$5000,"*→ "&amp;G$1&amp;"*"))</f>
        <v/>
      </c>
      <c r="H10" s="8">
        <f>IF($A10="","",COUNTIFS(Log!$A$2:$A$5000,$A10,Log!$F$2:$F$5000,"*→ "&amp;H$1&amp;"*"))</f>
        <v/>
      </c>
      <c r="I10" s="8">
        <f>IF($A10="","",COUNTIFS(Log!$A$2:$A$5000,$A10,Log!$F$2:$F$5000,"*→ "&amp;I$1&amp;"*"))</f>
        <v/>
      </c>
      <c r="J10" s="8">
        <f>IF($A10="","",COUNTIFS(Log!$A$2:$A$5000,$A10,Log!$F$2:$F$5000,"*→ "&amp;J$1&amp;"*"))</f>
        <v/>
      </c>
      <c r="K10" s="8">
        <f>IF($A10="","",COUNTIFS(Log!$A$2:$A$5000,$A10,Log!$F$2:$F$5000,"*→ "&amp;K$1&amp;"*"))</f>
        <v/>
      </c>
      <c r="L10" s="8">
        <f>IF($A10="","",COUNTIFS(Log!$A$2:$A$5000,$A10,Log!$F$2:$F$5000,"*→ "&amp;L$1&amp;"*"))</f>
        <v/>
      </c>
      <c r="M10" s="8">
        <f>IF($A10="","",COUNTIFS(Log!$A$2:$A$5000,$A10,Log!$F$2:$F$5000,"*→ "&amp;M$1&amp;"*"))</f>
        <v/>
      </c>
      <c r="N10" s="8">
        <f>IF($A10="","",COUNTIFS(Log!$A$2:$A$5000,$A10,Log!$F$2:$F$5000,"*→ "&amp;N$1&amp;"*"))</f>
        <v/>
      </c>
      <c r="O10" s="8">
        <f>IF($A10="","",COUNTIFS(Log!$A$2:$A$5000,$A10,Log!$F$2:$F$5000,"*→ "&amp;O$1&amp;"*"))</f>
        <v/>
      </c>
      <c r="P10" s="8">
        <f>IF($A10="","",COUNTIFS(Log!$A$2:$A$5000,$A10,Log!$F$2:$F$5000,"*→ "&amp;P$1&amp;"*"))</f>
        <v/>
      </c>
      <c r="Q10" s="8">
        <f>IF($A10="","",COUNTIFS(Log!$A$2:$A$5000,$A10,Log!$F$2:$F$5000,"*→ "&amp;Q$1&amp;"*"))</f>
        <v/>
      </c>
      <c r="R10" s="8">
        <f>IF($A10="","",COUNTIFS(Log!$A$2:$A$5000,$A10,Log!$F$2:$F$5000,"*→ "&amp;R$1&amp;"*"))</f>
        <v/>
      </c>
    </row>
    <row r="11">
      <c r="A11" s="8">
        <f>IF(Students!A11="","",Students!A11)</f>
        <v/>
      </c>
      <c r="B11" s="8">
        <f>IF($A11="","",COUNTIFS(Log!$A$2:$A$5000,$A11,Log!$F$2:$F$5000,"*→ "&amp;B$1&amp;"*"))</f>
        <v/>
      </c>
      <c r="C11" s="8">
        <f>IF($A11="","",COUNTIFS(Log!$A$2:$A$5000,$A11,Log!$F$2:$F$5000,"*→ "&amp;C$1&amp;"*"))</f>
        <v/>
      </c>
      <c r="D11" s="8">
        <f>IF($A11="","",COUNTIFS(Log!$A$2:$A$5000,$A11,Log!$F$2:$F$5000,"*→ "&amp;D$1&amp;"*"))</f>
        <v/>
      </c>
      <c r="E11" s="8">
        <f>IF($A11="","",COUNTIFS(Log!$A$2:$A$5000,$A11,Log!$F$2:$F$5000,"*→ "&amp;E$1&amp;"*"))</f>
        <v/>
      </c>
      <c r="F11" s="8">
        <f>IF($A11="","",COUNTIFS(Log!$A$2:$A$5000,$A11,Log!$F$2:$F$5000,"*→ "&amp;F$1&amp;"*"))</f>
        <v/>
      </c>
      <c r="G11" s="8">
        <f>IF($A11="","",COUNTIFS(Log!$A$2:$A$5000,$A11,Log!$F$2:$F$5000,"*→ "&amp;G$1&amp;"*"))</f>
        <v/>
      </c>
      <c r="H11" s="8">
        <f>IF($A11="","",COUNTIFS(Log!$A$2:$A$5000,$A11,Log!$F$2:$F$5000,"*→ "&amp;H$1&amp;"*"))</f>
        <v/>
      </c>
      <c r="I11" s="8">
        <f>IF($A11="","",COUNTIFS(Log!$A$2:$A$5000,$A11,Log!$F$2:$F$5000,"*→ "&amp;I$1&amp;"*"))</f>
        <v/>
      </c>
      <c r="J11" s="8">
        <f>IF($A11="","",COUNTIFS(Log!$A$2:$A$5000,$A11,Log!$F$2:$F$5000,"*→ "&amp;J$1&amp;"*"))</f>
        <v/>
      </c>
      <c r="K11" s="8">
        <f>IF($A11="","",COUNTIFS(Log!$A$2:$A$5000,$A11,Log!$F$2:$F$5000,"*→ "&amp;K$1&amp;"*"))</f>
        <v/>
      </c>
      <c r="L11" s="8">
        <f>IF($A11="","",COUNTIFS(Log!$A$2:$A$5000,$A11,Log!$F$2:$F$5000,"*→ "&amp;L$1&amp;"*"))</f>
        <v/>
      </c>
      <c r="M11" s="8">
        <f>IF($A11="","",COUNTIFS(Log!$A$2:$A$5000,$A11,Log!$F$2:$F$5000,"*→ "&amp;M$1&amp;"*"))</f>
        <v/>
      </c>
      <c r="N11" s="8">
        <f>IF($A11="","",COUNTIFS(Log!$A$2:$A$5000,$A11,Log!$F$2:$F$5000,"*→ "&amp;N$1&amp;"*"))</f>
        <v/>
      </c>
      <c r="O11" s="8">
        <f>IF($A11="","",COUNTIFS(Log!$A$2:$A$5000,$A11,Log!$F$2:$F$5000,"*→ "&amp;O$1&amp;"*"))</f>
        <v/>
      </c>
      <c r="P11" s="8">
        <f>IF($A11="","",COUNTIFS(Log!$A$2:$A$5000,$A11,Log!$F$2:$F$5000,"*→ "&amp;P$1&amp;"*"))</f>
        <v/>
      </c>
      <c r="Q11" s="8">
        <f>IF($A11="","",COUNTIFS(Log!$A$2:$A$5000,$A11,Log!$F$2:$F$5000,"*→ "&amp;Q$1&amp;"*"))</f>
        <v/>
      </c>
      <c r="R11" s="8">
        <f>IF($A11="","",COUNTIFS(Log!$A$2:$A$5000,$A11,Log!$F$2:$F$5000,"*→ "&amp;R$1&amp;"*"))</f>
        <v/>
      </c>
    </row>
    <row r="12">
      <c r="A12" s="8">
        <f>IF(Students!A12="","",Students!A12)</f>
        <v/>
      </c>
      <c r="B12" s="8">
        <f>IF($A12="","",COUNTIFS(Log!$A$2:$A$5000,$A12,Log!$F$2:$F$5000,"*→ "&amp;B$1&amp;"*"))</f>
        <v/>
      </c>
      <c r="C12" s="8">
        <f>IF($A12="","",COUNTIFS(Log!$A$2:$A$5000,$A12,Log!$F$2:$F$5000,"*→ "&amp;C$1&amp;"*"))</f>
        <v/>
      </c>
      <c r="D12" s="8">
        <f>IF($A12="","",COUNTIFS(Log!$A$2:$A$5000,$A12,Log!$F$2:$F$5000,"*→ "&amp;D$1&amp;"*"))</f>
        <v/>
      </c>
      <c r="E12" s="8">
        <f>IF($A12="","",COUNTIFS(Log!$A$2:$A$5000,$A12,Log!$F$2:$F$5000,"*→ "&amp;E$1&amp;"*"))</f>
        <v/>
      </c>
      <c r="F12" s="8">
        <f>IF($A12="","",COUNTIFS(Log!$A$2:$A$5000,$A12,Log!$F$2:$F$5000,"*→ "&amp;F$1&amp;"*"))</f>
        <v/>
      </c>
      <c r="G12" s="8">
        <f>IF($A12="","",COUNTIFS(Log!$A$2:$A$5000,$A12,Log!$F$2:$F$5000,"*→ "&amp;G$1&amp;"*"))</f>
        <v/>
      </c>
      <c r="H12" s="8">
        <f>IF($A12="","",COUNTIFS(Log!$A$2:$A$5000,$A12,Log!$F$2:$F$5000,"*→ "&amp;H$1&amp;"*"))</f>
        <v/>
      </c>
      <c r="I12" s="8">
        <f>IF($A12="","",COUNTIFS(Log!$A$2:$A$5000,$A12,Log!$F$2:$F$5000,"*→ "&amp;I$1&amp;"*"))</f>
        <v/>
      </c>
      <c r="J12" s="8">
        <f>IF($A12="","",COUNTIFS(Log!$A$2:$A$5000,$A12,Log!$F$2:$F$5000,"*→ "&amp;J$1&amp;"*"))</f>
        <v/>
      </c>
      <c r="K12" s="8">
        <f>IF($A12="","",COUNTIFS(Log!$A$2:$A$5000,$A12,Log!$F$2:$F$5000,"*→ "&amp;K$1&amp;"*"))</f>
        <v/>
      </c>
      <c r="L12" s="8">
        <f>IF($A12="","",COUNTIFS(Log!$A$2:$A$5000,$A12,Log!$F$2:$F$5000,"*→ "&amp;L$1&amp;"*"))</f>
        <v/>
      </c>
      <c r="M12" s="8">
        <f>IF($A12="","",COUNTIFS(Log!$A$2:$A$5000,$A12,Log!$F$2:$F$5000,"*→ "&amp;M$1&amp;"*"))</f>
        <v/>
      </c>
      <c r="N12" s="8">
        <f>IF($A12="","",COUNTIFS(Log!$A$2:$A$5000,$A12,Log!$F$2:$F$5000,"*→ "&amp;N$1&amp;"*"))</f>
        <v/>
      </c>
      <c r="O12" s="8">
        <f>IF($A12="","",COUNTIFS(Log!$A$2:$A$5000,$A12,Log!$F$2:$F$5000,"*→ "&amp;O$1&amp;"*"))</f>
        <v/>
      </c>
      <c r="P12" s="8">
        <f>IF($A12="","",COUNTIFS(Log!$A$2:$A$5000,$A12,Log!$F$2:$F$5000,"*→ "&amp;P$1&amp;"*"))</f>
        <v/>
      </c>
      <c r="Q12" s="8">
        <f>IF($A12="","",COUNTIFS(Log!$A$2:$A$5000,$A12,Log!$F$2:$F$5000,"*→ "&amp;Q$1&amp;"*"))</f>
        <v/>
      </c>
      <c r="R12" s="8">
        <f>IF($A12="","",COUNTIFS(Log!$A$2:$A$5000,$A12,Log!$F$2:$F$5000,"*→ "&amp;R$1&amp;"*"))</f>
        <v/>
      </c>
    </row>
    <row r="13">
      <c r="A13" s="8">
        <f>IF(Students!A13="","",Students!A13)</f>
        <v/>
      </c>
      <c r="B13" s="8">
        <f>IF($A13="","",COUNTIFS(Log!$A$2:$A$5000,$A13,Log!$F$2:$F$5000,"*→ "&amp;B$1&amp;"*"))</f>
        <v/>
      </c>
      <c r="C13" s="8">
        <f>IF($A13="","",COUNTIFS(Log!$A$2:$A$5000,$A13,Log!$F$2:$F$5000,"*→ "&amp;C$1&amp;"*"))</f>
        <v/>
      </c>
      <c r="D13" s="8">
        <f>IF($A13="","",COUNTIFS(Log!$A$2:$A$5000,$A13,Log!$F$2:$F$5000,"*→ "&amp;D$1&amp;"*"))</f>
        <v/>
      </c>
      <c r="E13" s="8">
        <f>IF($A13="","",COUNTIFS(Log!$A$2:$A$5000,$A13,Log!$F$2:$F$5000,"*→ "&amp;E$1&amp;"*"))</f>
        <v/>
      </c>
      <c r="F13" s="8">
        <f>IF($A13="","",COUNTIFS(Log!$A$2:$A$5000,$A13,Log!$F$2:$F$5000,"*→ "&amp;F$1&amp;"*"))</f>
        <v/>
      </c>
      <c r="G13" s="8">
        <f>IF($A13="","",COUNTIFS(Log!$A$2:$A$5000,$A13,Log!$F$2:$F$5000,"*→ "&amp;G$1&amp;"*"))</f>
        <v/>
      </c>
      <c r="H13" s="8">
        <f>IF($A13="","",COUNTIFS(Log!$A$2:$A$5000,$A13,Log!$F$2:$F$5000,"*→ "&amp;H$1&amp;"*"))</f>
        <v/>
      </c>
      <c r="I13" s="8">
        <f>IF($A13="","",COUNTIFS(Log!$A$2:$A$5000,$A13,Log!$F$2:$F$5000,"*→ "&amp;I$1&amp;"*"))</f>
        <v/>
      </c>
      <c r="J13" s="8">
        <f>IF($A13="","",COUNTIFS(Log!$A$2:$A$5000,$A13,Log!$F$2:$F$5000,"*→ "&amp;J$1&amp;"*"))</f>
        <v/>
      </c>
      <c r="K13" s="8">
        <f>IF($A13="","",COUNTIFS(Log!$A$2:$A$5000,$A13,Log!$F$2:$F$5000,"*→ "&amp;K$1&amp;"*"))</f>
        <v/>
      </c>
      <c r="L13" s="8">
        <f>IF($A13="","",COUNTIFS(Log!$A$2:$A$5000,$A13,Log!$F$2:$F$5000,"*→ "&amp;L$1&amp;"*"))</f>
        <v/>
      </c>
      <c r="M13" s="8">
        <f>IF($A13="","",COUNTIFS(Log!$A$2:$A$5000,$A13,Log!$F$2:$F$5000,"*→ "&amp;M$1&amp;"*"))</f>
        <v/>
      </c>
      <c r="N13" s="8">
        <f>IF($A13="","",COUNTIFS(Log!$A$2:$A$5000,$A13,Log!$F$2:$F$5000,"*→ "&amp;N$1&amp;"*"))</f>
        <v/>
      </c>
      <c r="O13" s="8">
        <f>IF($A13="","",COUNTIFS(Log!$A$2:$A$5000,$A13,Log!$F$2:$F$5000,"*→ "&amp;O$1&amp;"*"))</f>
        <v/>
      </c>
      <c r="P13" s="8">
        <f>IF($A13="","",COUNTIFS(Log!$A$2:$A$5000,$A13,Log!$F$2:$F$5000,"*→ "&amp;P$1&amp;"*"))</f>
        <v/>
      </c>
      <c r="Q13" s="8">
        <f>IF($A13="","",COUNTIFS(Log!$A$2:$A$5000,$A13,Log!$F$2:$F$5000,"*→ "&amp;Q$1&amp;"*"))</f>
        <v/>
      </c>
      <c r="R13" s="8">
        <f>IF($A13="","",COUNTIFS(Log!$A$2:$A$5000,$A13,Log!$F$2:$F$5000,"*→ "&amp;R$1&amp;"*"))</f>
        <v/>
      </c>
    </row>
    <row r="14">
      <c r="A14" s="8">
        <f>IF(Students!A14="","",Students!A14)</f>
        <v/>
      </c>
      <c r="B14" s="8">
        <f>IF($A14="","",COUNTIFS(Log!$A$2:$A$5000,$A14,Log!$F$2:$F$5000,"*→ "&amp;B$1&amp;"*"))</f>
        <v/>
      </c>
      <c r="C14" s="8">
        <f>IF($A14="","",COUNTIFS(Log!$A$2:$A$5000,$A14,Log!$F$2:$F$5000,"*→ "&amp;C$1&amp;"*"))</f>
        <v/>
      </c>
      <c r="D14" s="8">
        <f>IF($A14="","",COUNTIFS(Log!$A$2:$A$5000,$A14,Log!$F$2:$F$5000,"*→ "&amp;D$1&amp;"*"))</f>
        <v/>
      </c>
      <c r="E14" s="8">
        <f>IF($A14="","",COUNTIFS(Log!$A$2:$A$5000,$A14,Log!$F$2:$F$5000,"*→ "&amp;E$1&amp;"*"))</f>
        <v/>
      </c>
      <c r="F14" s="8">
        <f>IF($A14="","",COUNTIFS(Log!$A$2:$A$5000,$A14,Log!$F$2:$F$5000,"*→ "&amp;F$1&amp;"*"))</f>
        <v/>
      </c>
      <c r="G14" s="8">
        <f>IF($A14="","",COUNTIFS(Log!$A$2:$A$5000,$A14,Log!$F$2:$F$5000,"*→ "&amp;G$1&amp;"*"))</f>
        <v/>
      </c>
      <c r="H14" s="8">
        <f>IF($A14="","",COUNTIFS(Log!$A$2:$A$5000,$A14,Log!$F$2:$F$5000,"*→ "&amp;H$1&amp;"*"))</f>
        <v/>
      </c>
      <c r="I14" s="8">
        <f>IF($A14="","",COUNTIFS(Log!$A$2:$A$5000,$A14,Log!$F$2:$F$5000,"*→ "&amp;I$1&amp;"*"))</f>
        <v/>
      </c>
      <c r="J14" s="8">
        <f>IF($A14="","",COUNTIFS(Log!$A$2:$A$5000,$A14,Log!$F$2:$F$5000,"*→ "&amp;J$1&amp;"*"))</f>
        <v/>
      </c>
      <c r="K14" s="8">
        <f>IF($A14="","",COUNTIFS(Log!$A$2:$A$5000,$A14,Log!$F$2:$F$5000,"*→ "&amp;K$1&amp;"*"))</f>
        <v/>
      </c>
      <c r="L14" s="8">
        <f>IF($A14="","",COUNTIFS(Log!$A$2:$A$5000,$A14,Log!$F$2:$F$5000,"*→ "&amp;L$1&amp;"*"))</f>
        <v/>
      </c>
      <c r="M14" s="8">
        <f>IF($A14="","",COUNTIFS(Log!$A$2:$A$5000,$A14,Log!$F$2:$F$5000,"*→ "&amp;M$1&amp;"*"))</f>
        <v/>
      </c>
      <c r="N14" s="8">
        <f>IF($A14="","",COUNTIFS(Log!$A$2:$A$5000,$A14,Log!$F$2:$F$5000,"*→ "&amp;N$1&amp;"*"))</f>
        <v/>
      </c>
      <c r="O14" s="8">
        <f>IF($A14="","",COUNTIFS(Log!$A$2:$A$5000,$A14,Log!$F$2:$F$5000,"*→ "&amp;O$1&amp;"*"))</f>
        <v/>
      </c>
      <c r="P14" s="8">
        <f>IF($A14="","",COUNTIFS(Log!$A$2:$A$5000,$A14,Log!$F$2:$F$5000,"*→ "&amp;P$1&amp;"*"))</f>
        <v/>
      </c>
      <c r="Q14" s="8">
        <f>IF($A14="","",COUNTIFS(Log!$A$2:$A$5000,$A14,Log!$F$2:$F$5000,"*→ "&amp;Q$1&amp;"*"))</f>
        <v/>
      </c>
      <c r="R14" s="8">
        <f>IF($A14="","",COUNTIFS(Log!$A$2:$A$5000,$A14,Log!$F$2:$F$5000,"*→ "&amp;R$1&amp;"*"))</f>
        <v/>
      </c>
    </row>
    <row r="15">
      <c r="A15" s="8">
        <f>IF(Students!A15="","",Students!A15)</f>
        <v/>
      </c>
      <c r="B15" s="8">
        <f>IF($A15="","",COUNTIFS(Log!$A$2:$A$5000,$A15,Log!$F$2:$F$5000,"*→ "&amp;B$1&amp;"*"))</f>
        <v/>
      </c>
      <c r="C15" s="8">
        <f>IF($A15="","",COUNTIFS(Log!$A$2:$A$5000,$A15,Log!$F$2:$F$5000,"*→ "&amp;C$1&amp;"*"))</f>
        <v/>
      </c>
      <c r="D15" s="8">
        <f>IF($A15="","",COUNTIFS(Log!$A$2:$A$5000,$A15,Log!$F$2:$F$5000,"*→ "&amp;D$1&amp;"*"))</f>
        <v/>
      </c>
      <c r="E15" s="8">
        <f>IF($A15="","",COUNTIFS(Log!$A$2:$A$5000,$A15,Log!$F$2:$F$5000,"*→ "&amp;E$1&amp;"*"))</f>
        <v/>
      </c>
      <c r="F15" s="8">
        <f>IF($A15="","",COUNTIFS(Log!$A$2:$A$5000,$A15,Log!$F$2:$F$5000,"*→ "&amp;F$1&amp;"*"))</f>
        <v/>
      </c>
      <c r="G15" s="8">
        <f>IF($A15="","",COUNTIFS(Log!$A$2:$A$5000,$A15,Log!$F$2:$F$5000,"*→ "&amp;G$1&amp;"*"))</f>
        <v/>
      </c>
      <c r="H15" s="8">
        <f>IF($A15="","",COUNTIFS(Log!$A$2:$A$5000,$A15,Log!$F$2:$F$5000,"*→ "&amp;H$1&amp;"*"))</f>
        <v/>
      </c>
      <c r="I15" s="8">
        <f>IF($A15="","",COUNTIFS(Log!$A$2:$A$5000,$A15,Log!$F$2:$F$5000,"*→ "&amp;I$1&amp;"*"))</f>
        <v/>
      </c>
      <c r="J15" s="8">
        <f>IF($A15="","",COUNTIFS(Log!$A$2:$A$5000,$A15,Log!$F$2:$F$5000,"*→ "&amp;J$1&amp;"*"))</f>
        <v/>
      </c>
      <c r="K15" s="8">
        <f>IF($A15="","",COUNTIFS(Log!$A$2:$A$5000,$A15,Log!$F$2:$F$5000,"*→ "&amp;K$1&amp;"*"))</f>
        <v/>
      </c>
      <c r="L15" s="8">
        <f>IF($A15="","",COUNTIFS(Log!$A$2:$A$5000,$A15,Log!$F$2:$F$5000,"*→ "&amp;L$1&amp;"*"))</f>
        <v/>
      </c>
      <c r="M15" s="8">
        <f>IF($A15="","",COUNTIFS(Log!$A$2:$A$5000,$A15,Log!$F$2:$F$5000,"*→ "&amp;M$1&amp;"*"))</f>
        <v/>
      </c>
      <c r="N15" s="8">
        <f>IF($A15="","",COUNTIFS(Log!$A$2:$A$5000,$A15,Log!$F$2:$F$5000,"*→ "&amp;N$1&amp;"*"))</f>
        <v/>
      </c>
      <c r="O15" s="8">
        <f>IF($A15="","",COUNTIFS(Log!$A$2:$A$5000,$A15,Log!$F$2:$F$5000,"*→ "&amp;O$1&amp;"*"))</f>
        <v/>
      </c>
      <c r="P15" s="8">
        <f>IF($A15="","",COUNTIFS(Log!$A$2:$A$5000,$A15,Log!$F$2:$F$5000,"*→ "&amp;P$1&amp;"*"))</f>
        <v/>
      </c>
      <c r="Q15" s="8">
        <f>IF($A15="","",COUNTIFS(Log!$A$2:$A$5000,$A15,Log!$F$2:$F$5000,"*→ "&amp;Q$1&amp;"*"))</f>
        <v/>
      </c>
      <c r="R15" s="8">
        <f>IF($A15="","",COUNTIFS(Log!$A$2:$A$5000,$A15,Log!$F$2:$F$5000,"*→ "&amp;R$1&amp;"*"))</f>
        <v/>
      </c>
    </row>
    <row r="16">
      <c r="A16" s="8">
        <f>IF(Students!A16="","",Students!A16)</f>
        <v/>
      </c>
      <c r="B16" s="8">
        <f>IF($A16="","",COUNTIFS(Log!$A$2:$A$5000,$A16,Log!$F$2:$F$5000,"*→ "&amp;B$1&amp;"*"))</f>
        <v/>
      </c>
      <c r="C16" s="8">
        <f>IF($A16="","",COUNTIFS(Log!$A$2:$A$5000,$A16,Log!$F$2:$F$5000,"*→ "&amp;C$1&amp;"*"))</f>
        <v/>
      </c>
      <c r="D16" s="8">
        <f>IF($A16="","",COUNTIFS(Log!$A$2:$A$5000,$A16,Log!$F$2:$F$5000,"*→ "&amp;D$1&amp;"*"))</f>
        <v/>
      </c>
      <c r="E16" s="8">
        <f>IF($A16="","",COUNTIFS(Log!$A$2:$A$5000,$A16,Log!$F$2:$F$5000,"*→ "&amp;E$1&amp;"*"))</f>
        <v/>
      </c>
      <c r="F16" s="8">
        <f>IF($A16="","",COUNTIFS(Log!$A$2:$A$5000,$A16,Log!$F$2:$F$5000,"*→ "&amp;F$1&amp;"*"))</f>
        <v/>
      </c>
      <c r="G16" s="8">
        <f>IF($A16="","",COUNTIFS(Log!$A$2:$A$5000,$A16,Log!$F$2:$F$5000,"*→ "&amp;G$1&amp;"*"))</f>
        <v/>
      </c>
      <c r="H16" s="8">
        <f>IF($A16="","",COUNTIFS(Log!$A$2:$A$5000,$A16,Log!$F$2:$F$5000,"*→ "&amp;H$1&amp;"*"))</f>
        <v/>
      </c>
      <c r="I16" s="8">
        <f>IF($A16="","",COUNTIFS(Log!$A$2:$A$5000,$A16,Log!$F$2:$F$5000,"*→ "&amp;I$1&amp;"*"))</f>
        <v/>
      </c>
      <c r="J16" s="8">
        <f>IF($A16="","",COUNTIFS(Log!$A$2:$A$5000,$A16,Log!$F$2:$F$5000,"*→ "&amp;J$1&amp;"*"))</f>
        <v/>
      </c>
      <c r="K16" s="8">
        <f>IF($A16="","",COUNTIFS(Log!$A$2:$A$5000,$A16,Log!$F$2:$F$5000,"*→ "&amp;K$1&amp;"*"))</f>
        <v/>
      </c>
      <c r="L16" s="8">
        <f>IF($A16="","",COUNTIFS(Log!$A$2:$A$5000,$A16,Log!$F$2:$F$5000,"*→ "&amp;L$1&amp;"*"))</f>
        <v/>
      </c>
      <c r="M16" s="8">
        <f>IF($A16="","",COUNTIFS(Log!$A$2:$A$5000,$A16,Log!$F$2:$F$5000,"*→ "&amp;M$1&amp;"*"))</f>
        <v/>
      </c>
      <c r="N16" s="8">
        <f>IF($A16="","",COUNTIFS(Log!$A$2:$A$5000,$A16,Log!$F$2:$F$5000,"*→ "&amp;N$1&amp;"*"))</f>
        <v/>
      </c>
      <c r="O16" s="8">
        <f>IF($A16="","",COUNTIFS(Log!$A$2:$A$5000,$A16,Log!$F$2:$F$5000,"*→ "&amp;O$1&amp;"*"))</f>
        <v/>
      </c>
      <c r="P16" s="8">
        <f>IF($A16="","",COUNTIFS(Log!$A$2:$A$5000,$A16,Log!$F$2:$F$5000,"*→ "&amp;P$1&amp;"*"))</f>
        <v/>
      </c>
      <c r="Q16" s="8">
        <f>IF($A16="","",COUNTIFS(Log!$A$2:$A$5000,$A16,Log!$F$2:$F$5000,"*→ "&amp;Q$1&amp;"*"))</f>
        <v/>
      </c>
      <c r="R16" s="8">
        <f>IF($A16="","",COUNTIFS(Log!$A$2:$A$5000,$A16,Log!$F$2:$F$5000,"*→ "&amp;R$1&amp;"*"))</f>
        <v/>
      </c>
    </row>
    <row r="17">
      <c r="A17" s="8">
        <f>IF(Students!A17="","",Students!A17)</f>
        <v/>
      </c>
      <c r="B17" s="8">
        <f>IF($A17="","",COUNTIFS(Log!$A$2:$A$5000,$A17,Log!$F$2:$F$5000,"*→ "&amp;B$1&amp;"*"))</f>
        <v/>
      </c>
      <c r="C17" s="8">
        <f>IF($A17="","",COUNTIFS(Log!$A$2:$A$5000,$A17,Log!$F$2:$F$5000,"*→ "&amp;C$1&amp;"*"))</f>
        <v/>
      </c>
      <c r="D17" s="8">
        <f>IF($A17="","",COUNTIFS(Log!$A$2:$A$5000,$A17,Log!$F$2:$F$5000,"*→ "&amp;D$1&amp;"*"))</f>
        <v/>
      </c>
      <c r="E17" s="8">
        <f>IF($A17="","",COUNTIFS(Log!$A$2:$A$5000,$A17,Log!$F$2:$F$5000,"*→ "&amp;E$1&amp;"*"))</f>
        <v/>
      </c>
      <c r="F17" s="8">
        <f>IF($A17="","",COUNTIFS(Log!$A$2:$A$5000,$A17,Log!$F$2:$F$5000,"*→ "&amp;F$1&amp;"*"))</f>
        <v/>
      </c>
      <c r="G17" s="8">
        <f>IF($A17="","",COUNTIFS(Log!$A$2:$A$5000,$A17,Log!$F$2:$F$5000,"*→ "&amp;G$1&amp;"*"))</f>
        <v/>
      </c>
      <c r="H17" s="8">
        <f>IF($A17="","",COUNTIFS(Log!$A$2:$A$5000,$A17,Log!$F$2:$F$5000,"*→ "&amp;H$1&amp;"*"))</f>
        <v/>
      </c>
      <c r="I17" s="8">
        <f>IF($A17="","",COUNTIFS(Log!$A$2:$A$5000,$A17,Log!$F$2:$F$5000,"*→ "&amp;I$1&amp;"*"))</f>
        <v/>
      </c>
      <c r="J17" s="8">
        <f>IF($A17="","",COUNTIFS(Log!$A$2:$A$5000,$A17,Log!$F$2:$F$5000,"*→ "&amp;J$1&amp;"*"))</f>
        <v/>
      </c>
      <c r="K17" s="8">
        <f>IF($A17="","",COUNTIFS(Log!$A$2:$A$5000,$A17,Log!$F$2:$F$5000,"*→ "&amp;K$1&amp;"*"))</f>
        <v/>
      </c>
      <c r="L17" s="8">
        <f>IF($A17="","",COUNTIFS(Log!$A$2:$A$5000,$A17,Log!$F$2:$F$5000,"*→ "&amp;L$1&amp;"*"))</f>
        <v/>
      </c>
      <c r="M17" s="8">
        <f>IF($A17="","",COUNTIFS(Log!$A$2:$A$5000,$A17,Log!$F$2:$F$5000,"*→ "&amp;M$1&amp;"*"))</f>
        <v/>
      </c>
      <c r="N17" s="8">
        <f>IF($A17="","",COUNTIFS(Log!$A$2:$A$5000,$A17,Log!$F$2:$F$5000,"*→ "&amp;N$1&amp;"*"))</f>
        <v/>
      </c>
      <c r="O17" s="8">
        <f>IF($A17="","",COUNTIFS(Log!$A$2:$A$5000,$A17,Log!$F$2:$F$5000,"*→ "&amp;O$1&amp;"*"))</f>
        <v/>
      </c>
      <c r="P17" s="8">
        <f>IF($A17="","",COUNTIFS(Log!$A$2:$A$5000,$A17,Log!$F$2:$F$5000,"*→ "&amp;P$1&amp;"*"))</f>
        <v/>
      </c>
      <c r="Q17" s="8">
        <f>IF($A17="","",COUNTIFS(Log!$A$2:$A$5000,$A17,Log!$F$2:$F$5000,"*→ "&amp;Q$1&amp;"*"))</f>
        <v/>
      </c>
      <c r="R17" s="8">
        <f>IF($A17="","",COUNTIFS(Log!$A$2:$A$5000,$A17,Log!$F$2:$F$5000,"*→ "&amp;R$1&amp;"*"))</f>
        <v/>
      </c>
    </row>
    <row r="18">
      <c r="A18" s="8">
        <f>IF(Students!A18="","",Students!A18)</f>
        <v/>
      </c>
      <c r="B18" s="8">
        <f>IF($A18="","",COUNTIFS(Log!$A$2:$A$5000,$A18,Log!$F$2:$F$5000,"*→ "&amp;B$1&amp;"*"))</f>
        <v/>
      </c>
      <c r="C18" s="8">
        <f>IF($A18="","",COUNTIFS(Log!$A$2:$A$5000,$A18,Log!$F$2:$F$5000,"*→ "&amp;C$1&amp;"*"))</f>
        <v/>
      </c>
      <c r="D18" s="8">
        <f>IF($A18="","",COUNTIFS(Log!$A$2:$A$5000,$A18,Log!$F$2:$F$5000,"*→ "&amp;D$1&amp;"*"))</f>
        <v/>
      </c>
      <c r="E18" s="8">
        <f>IF($A18="","",COUNTIFS(Log!$A$2:$A$5000,$A18,Log!$F$2:$F$5000,"*→ "&amp;E$1&amp;"*"))</f>
        <v/>
      </c>
      <c r="F18" s="8">
        <f>IF($A18="","",COUNTIFS(Log!$A$2:$A$5000,$A18,Log!$F$2:$F$5000,"*→ "&amp;F$1&amp;"*"))</f>
        <v/>
      </c>
      <c r="G18" s="8">
        <f>IF($A18="","",COUNTIFS(Log!$A$2:$A$5000,$A18,Log!$F$2:$F$5000,"*→ "&amp;G$1&amp;"*"))</f>
        <v/>
      </c>
      <c r="H18" s="8">
        <f>IF($A18="","",COUNTIFS(Log!$A$2:$A$5000,$A18,Log!$F$2:$F$5000,"*→ "&amp;H$1&amp;"*"))</f>
        <v/>
      </c>
      <c r="I18" s="8">
        <f>IF($A18="","",COUNTIFS(Log!$A$2:$A$5000,$A18,Log!$F$2:$F$5000,"*→ "&amp;I$1&amp;"*"))</f>
        <v/>
      </c>
      <c r="J18" s="8">
        <f>IF($A18="","",COUNTIFS(Log!$A$2:$A$5000,$A18,Log!$F$2:$F$5000,"*→ "&amp;J$1&amp;"*"))</f>
        <v/>
      </c>
      <c r="K18" s="8">
        <f>IF($A18="","",COUNTIFS(Log!$A$2:$A$5000,$A18,Log!$F$2:$F$5000,"*→ "&amp;K$1&amp;"*"))</f>
        <v/>
      </c>
      <c r="L18" s="8">
        <f>IF($A18="","",COUNTIFS(Log!$A$2:$A$5000,$A18,Log!$F$2:$F$5000,"*→ "&amp;L$1&amp;"*"))</f>
        <v/>
      </c>
      <c r="M18" s="8">
        <f>IF($A18="","",COUNTIFS(Log!$A$2:$A$5000,$A18,Log!$F$2:$F$5000,"*→ "&amp;M$1&amp;"*"))</f>
        <v/>
      </c>
      <c r="N18" s="8">
        <f>IF($A18="","",COUNTIFS(Log!$A$2:$A$5000,$A18,Log!$F$2:$F$5000,"*→ "&amp;N$1&amp;"*"))</f>
        <v/>
      </c>
      <c r="O18" s="8">
        <f>IF($A18="","",COUNTIFS(Log!$A$2:$A$5000,$A18,Log!$F$2:$F$5000,"*→ "&amp;O$1&amp;"*"))</f>
        <v/>
      </c>
      <c r="P18" s="8">
        <f>IF($A18="","",COUNTIFS(Log!$A$2:$A$5000,$A18,Log!$F$2:$F$5000,"*→ "&amp;P$1&amp;"*"))</f>
        <v/>
      </c>
      <c r="Q18" s="8">
        <f>IF($A18="","",COUNTIFS(Log!$A$2:$A$5000,$A18,Log!$F$2:$F$5000,"*→ "&amp;Q$1&amp;"*"))</f>
        <v/>
      </c>
      <c r="R18" s="8">
        <f>IF($A18="","",COUNTIFS(Log!$A$2:$A$5000,$A18,Log!$F$2:$F$5000,"*→ "&amp;R$1&amp;"*"))</f>
        <v/>
      </c>
    </row>
    <row r="19">
      <c r="A19" s="8">
        <f>IF(Students!A19="","",Students!A19)</f>
        <v/>
      </c>
      <c r="B19" s="8">
        <f>IF($A19="","",COUNTIFS(Log!$A$2:$A$5000,$A19,Log!$F$2:$F$5000,"*→ "&amp;B$1&amp;"*"))</f>
        <v/>
      </c>
      <c r="C19" s="8">
        <f>IF($A19="","",COUNTIFS(Log!$A$2:$A$5000,$A19,Log!$F$2:$F$5000,"*→ "&amp;C$1&amp;"*"))</f>
        <v/>
      </c>
      <c r="D19" s="8">
        <f>IF($A19="","",COUNTIFS(Log!$A$2:$A$5000,$A19,Log!$F$2:$F$5000,"*→ "&amp;D$1&amp;"*"))</f>
        <v/>
      </c>
      <c r="E19" s="8">
        <f>IF($A19="","",COUNTIFS(Log!$A$2:$A$5000,$A19,Log!$F$2:$F$5000,"*→ "&amp;E$1&amp;"*"))</f>
        <v/>
      </c>
      <c r="F19" s="8">
        <f>IF($A19="","",COUNTIFS(Log!$A$2:$A$5000,$A19,Log!$F$2:$F$5000,"*→ "&amp;F$1&amp;"*"))</f>
        <v/>
      </c>
      <c r="G19" s="8">
        <f>IF($A19="","",COUNTIFS(Log!$A$2:$A$5000,$A19,Log!$F$2:$F$5000,"*→ "&amp;G$1&amp;"*"))</f>
        <v/>
      </c>
      <c r="H19" s="8">
        <f>IF($A19="","",COUNTIFS(Log!$A$2:$A$5000,$A19,Log!$F$2:$F$5000,"*→ "&amp;H$1&amp;"*"))</f>
        <v/>
      </c>
      <c r="I19" s="8">
        <f>IF($A19="","",COUNTIFS(Log!$A$2:$A$5000,$A19,Log!$F$2:$F$5000,"*→ "&amp;I$1&amp;"*"))</f>
        <v/>
      </c>
      <c r="J19" s="8">
        <f>IF($A19="","",COUNTIFS(Log!$A$2:$A$5000,$A19,Log!$F$2:$F$5000,"*→ "&amp;J$1&amp;"*"))</f>
        <v/>
      </c>
      <c r="K19" s="8">
        <f>IF($A19="","",COUNTIFS(Log!$A$2:$A$5000,$A19,Log!$F$2:$F$5000,"*→ "&amp;K$1&amp;"*"))</f>
        <v/>
      </c>
      <c r="L19" s="8">
        <f>IF($A19="","",COUNTIFS(Log!$A$2:$A$5000,$A19,Log!$F$2:$F$5000,"*→ "&amp;L$1&amp;"*"))</f>
        <v/>
      </c>
      <c r="M19" s="8">
        <f>IF($A19="","",COUNTIFS(Log!$A$2:$A$5000,$A19,Log!$F$2:$F$5000,"*→ "&amp;M$1&amp;"*"))</f>
        <v/>
      </c>
      <c r="N19" s="8">
        <f>IF($A19="","",COUNTIFS(Log!$A$2:$A$5000,$A19,Log!$F$2:$F$5000,"*→ "&amp;N$1&amp;"*"))</f>
        <v/>
      </c>
      <c r="O19" s="8">
        <f>IF($A19="","",COUNTIFS(Log!$A$2:$A$5000,$A19,Log!$F$2:$F$5000,"*→ "&amp;O$1&amp;"*"))</f>
        <v/>
      </c>
      <c r="P19" s="8">
        <f>IF($A19="","",COUNTIFS(Log!$A$2:$A$5000,$A19,Log!$F$2:$F$5000,"*→ "&amp;P$1&amp;"*"))</f>
        <v/>
      </c>
      <c r="Q19" s="8">
        <f>IF($A19="","",COUNTIFS(Log!$A$2:$A$5000,$A19,Log!$F$2:$F$5000,"*→ "&amp;Q$1&amp;"*"))</f>
        <v/>
      </c>
      <c r="R19" s="8">
        <f>IF($A19="","",COUNTIFS(Log!$A$2:$A$5000,$A19,Log!$F$2:$F$5000,"*→ "&amp;R$1&amp;"*"))</f>
        <v/>
      </c>
    </row>
    <row r="20">
      <c r="A20" s="8">
        <f>IF(Students!A20="","",Students!A20)</f>
        <v/>
      </c>
      <c r="B20" s="8">
        <f>IF($A20="","",COUNTIFS(Log!$A$2:$A$5000,$A20,Log!$F$2:$F$5000,"*→ "&amp;B$1&amp;"*"))</f>
        <v/>
      </c>
      <c r="C20" s="8">
        <f>IF($A20="","",COUNTIFS(Log!$A$2:$A$5000,$A20,Log!$F$2:$F$5000,"*→ "&amp;C$1&amp;"*"))</f>
        <v/>
      </c>
      <c r="D20" s="8">
        <f>IF($A20="","",COUNTIFS(Log!$A$2:$A$5000,$A20,Log!$F$2:$F$5000,"*→ "&amp;D$1&amp;"*"))</f>
        <v/>
      </c>
      <c r="E20" s="8">
        <f>IF($A20="","",COUNTIFS(Log!$A$2:$A$5000,$A20,Log!$F$2:$F$5000,"*→ "&amp;E$1&amp;"*"))</f>
        <v/>
      </c>
      <c r="F20" s="8">
        <f>IF($A20="","",COUNTIFS(Log!$A$2:$A$5000,$A20,Log!$F$2:$F$5000,"*→ "&amp;F$1&amp;"*"))</f>
        <v/>
      </c>
      <c r="G20" s="8">
        <f>IF($A20="","",COUNTIFS(Log!$A$2:$A$5000,$A20,Log!$F$2:$F$5000,"*→ "&amp;G$1&amp;"*"))</f>
        <v/>
      </c>
      <c r="H20" s="8">
        <f>IF($A20="","",COUNTIFS(Log!$A$2:$A$5000,$A20,Log!$F$2:$F$5000,"*→ "&amp;H$1&amp;"*"))</f>
        <v/>
      </c>
      <c r="I20" s="8">
        <f>IF($A20="","",COUNTIFS(Log!$A$2:$A$5000,$A20,Log!$F$2:$F$5000,"*→ "&amp;I$1&amp;"*"))</f>
        <v/>
      </c>
      <c r="J20" s="8">
        <f>IF($A20="","",COUNTIFS(Log!$A$2:$A$5000,$A20,Log!$F$2:$F$5000,"*→ "&amp;J$1&amp;"*"))</f>
        <v/>
      </c>
      <c r="K20" s="8">
        <f>IF($A20="","",COUNTIFS(Log!$A$2:$A$5000,$A20,Log!$F$2:$F$5000,"*→ "&amp;K$1&amp;"*"))</f>
        <v/>
      </c>
      <c r="L20" s="8">
        <f>IF($A20="","",COUNTIFS(Log!$A$2:$A$5000,$A20,Log!$F$2:$F$5000,"*→ "&amp;L$1&amp;"*"))</f>
        <v/>
      </c>
      <c r="M20" s="8">
        <f>IF($A20="","",COUNTIFS(Log!$A$2:$A$5000,$A20,Log!$F$2:$F$5000,"*→ "&amp;M$1&amp;"*"))</f>
        <v/>
      </c>
      <c r="N20" s="8">
        <f>IF($A20="","",COUNTIFS(Log!$A$2:$A$5000,$A20,Log!$F$2:$F$5000,"*→ "&amp;N$1&amp;"*"))</f>
        <v/>
      </c>
      <c r="O20" s="8">
        <f>IF($A20="","",COUNTIFS(Log!$A$2:$A$5000,$A20,Log!$F$2:$F$5000,"*→ "&amp;O$1&amp;"*"))</f>
        <v/>
      </c>
      <c r="P20" s="8">
        <f>IF($A20="","",COUNTIFS(Log!$A$2:$A$5000,$A20,Log!$F$2:$F$5000,"*→ "&amp;P$1&amp;"*"))</f>
        <v/>
      </c>
      <c r="Q20" s="8">
        <f>IF($A20="","",COUNTIFS(Log!$A$2:$A$5000,$A20,Log!$F$2:$F$5000,"*→ "&amp;Q$1&amp;"*"))</f>
        <v/>
      </c>
      <c r="R20" s="8">
        <f>IF($A20="","",COUNTIFS(Log!$A$2:$A$5000,$A20,Log!$F$2:$F$5000,"*→ "&amp;R$1&amp;"*"))</f>
        <v/>
      </c>
    </row>
    <row r="21">
      <c r="A21" s="8">
        <f>IF(Students!A21="","",Students!A21)</f>
        <v/>
      </c>
      <c r="B21" s="8">
        <f>IF($A21="","",COUNTIFS(Log!$A$2:$A$5000,$A21,Log!$F$2:$F$5000,"*→ "&amp;B$1&amp;"*"))</f>
        <v/>
      </c>
      <c r="C21" s="8">
        <f>IF($A21="","",COUNTIFS(Log!$A$2:$A$5000,$A21,Log!$F$2:$F$5000,"*→ "&amp;C$1&amp;"*"))</f>
        <v/>
      </c>
      <c r="D21" s="8">
        <f>IF($A21="","",COUNTIFS(Log!$A$2:$A$5000,$A21,Log!$F$2:$F$5000,"*→ "&amp;D$1&amp;"*"))</f>
        <v/>
      </c>
      <c r="E21" s="8">
        <f>IF($A21="","",COUNTIFS(Log!$A$2:$A$5000,$A21,Log!$F$2:$F$5000,"*→ "&amp;E$1&amp;"*"))</f>
        <v/>
      </c>
      <c r="F21" s="8">
        <f>IF($A21="","",COUNTIFS(Log!$A$2:$A$5000,$A21,Log!$F$2:$F$5000,"*→ "&amp;F$1&amp;"*"))</f>
        <v/>
      </c>
      <c r="G21" s="8">
        <f>IF($A21="","",COUNTIFS(Log!$A$2:$A$5000,$A21,Log!$F$2:$F$5000,"*→ "&amp;G$1&amp;"*"))</f>
        <v/>
      </c>
      <c r="H21" s="8">
        <f>IF($A21="","",COUNTIFS(Log!$A$2:$A$5000,$A21,Log!$F$2:$F$5000,"*→ "&amp;H$1&amp;"*"))</f>
        <v/>
      </c>
      <c r="I21" s="8">
        <f>IF($A21="","",COUNTIFS(Log!$A$2:$A$5000,$A21,Log!$F$2:$F$5000,"*→ "&amp;I$1&amp;"*"))</f>
        <v/>
      </c>
      <c r="J21" s="8">
        <f>IF($A21="","",COUNTIFS(Log!$A$2:$A$5000,$A21,Log!$F$2:$F$5000,"*→ "&amp;J$1&amp;"*"))</f>
        <v/>
      </c>
      <c r="K21" s="8">
        <f>IF($A21="","",COUNTIFS(Log!$A$2:$A$5000,$A21,Log!$F$2:$F$5000,"*→ "&amp;K$1&amp;"*"))</f>
        <v/>
      </c>
      <c r="L21" s="8">
        <f>IF($A21="","",COUNTIFS(Log!$A$2:$A$5000,$A21,Log!$F$2:$F$5000,"*→ "&amp;L$1&amp;"*"))</f>
        <v/>
      </c>
      <c r="M21" s="8">
        <f>IF($A21="","",COUNTIFS(Log!$A$2:$A$5000,$A21,Log!$F$2:$F$5000,"*→ "&amp;M$1&amp;"*"))</f>
        <v/>
      </c>
      <c r="N21" s="8">
        <f>IF($A21="","",COUNTIFS(Log!$A$2:$A$5000,$A21,Log!$F$2:$F$5000,"*→ "&amp;N$1&amp;"*"))</f>
        <v/>
      </c>
      <c r="O21" s="8">
        <f>IF($A21="","",COUNTIFS(Log!$A$2:$A$5000,$A21,Log!$F$2:$F$5000,"*→ "&amp;O$1&amp;"*"))</f>
        <v/>
      </c>
      <c r="P21" s="8">
        <f>IF($A21="","",COUNTIFS(Log!$A$2:$A$5000,$A21,Log!$F$2:$F$5000,"*→ "&amp;P$1&amp;"*"))</f>
        <v/>
      </c>
      <c r="Q21" s="8">
        <f>IF($A21="","",COUNTIFS(Log!$A$2:$A$5000,$A21,Log!$F$2:$F$5000,"*→ "&amp;Q$1&amp;"*"))</f>
        <v/>
      </c>
      <c r="R21" s="8">
        <f>IF($A21="","",COUNTIFS(Log!$A$2:$A$5000,$A21,Log!$F$2:$F$5000,"*→ "&amp;R$1&amp;"*"))</f>
        <v/>
      </c>
    </row>
    <row r="22">
      <c r="A22" s="8">
        <f>IF(Students!A22="","",Students!A22)</f>
        <v/>
      </c>
      <c r="B22" s="8">
        <f>IF($A22="","",COUNTIFS(Log!$A$2:$A$5000,$A22,Log!$F$2:$F$5000,"*→ "&amp;B$1&amp;"*"))</f>
        <v/>
      </c>
      <c r="C22" s="8">
        <f>IF($A22="","",COUNTIFS(Log!$A$2:$A$5000,$A22,Log!$F$2:$F$5000,"*→ "&amp;C$1&amp;"*"))</f>
        <v/>
      </c>
      <c r="D22" s="8">
        <f>IF($A22="","",COUNTIFS(Log!$A$2:$A$5000,$A22,Log!$F$2:$F$5000,"*→ "&amp;D$1&amp;"*"))</f>
        <v/>
      </c>
      <c r="E22" s="8">
        <f>IF($A22="","",COUNTIFS(Log!$A$2:$A$5000,$A22,Log!$F$2:$F$5000,"*→ "&amp;E$1&amp;"*"))</f>
        <v/>
      </c>
      <c r="F22" s="8">
        <f>IF($A22="","",COUNTIFS(Log!$A$2:$A$5000,$A22,Log!$F$2:$F$5000,"*→ "&amp;F$1&amp;"*"))</f>
        <v/>
      </c>
      <c r="G22" s="8">
        <f>IF($A22="","",COUNTIFS(Log!$A$2:$A$5000,$A22,Log!$F$2:$F$5000,"*→ "&amp;G$1&amp;"*"))</f>
        <v/>
      </c>
      <c r="H22" s="8">
        <f>IF($A22="","",COUNTIFS(Log!$A$2:$A$5000,$A22,Log!$F$2:$F$5000,"*→ "&amp;H$1&amp;"*"))</f>
        <v/>
      </c>
      <c r="I22" s="8">
        <f>IF($A22="","",COUNTIFS(Log!$A$2:$A$5000,$A22,Log!$F$2:$F$5000,"*→ "&amp;I$1&amp;"*"))</f>
        <v/>
      </c>
      <c r="J22" s="8">
        <f>IF($A22="","",COUNTIFS(Log!$A$2:$A$5000,$A22,Log!$F$2:$F$5000,"*→ "&amp;J$1&amp;"*"))</f>
        <v/>
      </c>
      <c r="K22" s="8">
        <f>IF($A22="","",COUNTIFS(Log!$A$2:$A$5000,$A22,Log!$F$2:$F$5000,"*→ "&amp;K$1&amp;"*"))</f>
        <v/>
      </c>
      <c r="L22" s="8">
        <f>IF($A22="","",COUNTIFS(Log!$A$2:$A$5000,$A22,Log!$F$2:$F$5000,"*→ "&amp;L$1&amp;"*"))</f>
        <v/>
      </c>
      <c r="M22" s="8">
        <f>IF($A22="","",COUNTIFS(Log!$A$2:$A$5000,$A22,Log!$F$2:$F$5000,"*→ "&amp;M$1&amp;"*"))</f>
        <v/>
      </c>
      <c r="N22" s="8">
        <f>IF($A22="","",COUNTIFS(Log!$A$2:$A$5000,$A22,Log!$F$2:$F$5000,"*→ "&amp;N$1&amp;"*"))</f>
        <v/>
      </c>
      <c r="O22" s="8">
        <f>IF($A22="","",COUNTIFS(Log!$A$2:$A$5000,$A22,Log!$F$2:$F$5000,"*→ "&amp;O$1&amp;"*"))</f>
        <v/>
      </c>
      <c r="P22" s="8">
        <f>IF($A22="","",COUNTIFS(Log!$A$2:$A$5000,$A22,Log!$F$2:$F$5000,"*→ "&amp;P$1&amp;"*"))</f>
        <v/>
      </c>
      <c r="Q22" s="8">
        <f>IF($A22="","",COUNTIFS(Log!$A$2:$A$5000,$A22,Log!$F$2:$F$5000,"*→ "&amp;Q$1&amp;"*"))</f>
        <v/>
      </c>
      <c r="R22" s="8">
        <f>IF($A22="","",COUNTIFS(Log!$A$2:$A$5000,$A22,Log!$F$2:$F$5000,"*→ "&amp;R$1&amp;"*"))</f>
        <v/>
      </c>
    </row>
    <row r="23">
      <c r="A23" s="8">
        <f>IF(Students!A23="","",Students!A23)</f>
        <v/>
      </c>
      <c r="B23" s="8">
        <f>IF($A23="","",COUNTIFS(Log!$A$2:$A$5000,$A23,Log!$F$2:$F$5000,"*→ "&amp;B$1&amp;"*"))</f>
        <v/>
      </c>
      <c r="C23" s="8">
        <f>IF($A23="","",COUNTIFS(Log!$A$2:$A$5000,$A23,Log!$F$2:$F$5000,"*→ "&amp;C$1&amp;"*"))</f>
        <v/>
      </c>
      <c r="D23" s="8">
        <f>IF($A23="","",COUNTIFS(Log!$A$2:$A$5000,$A23,Log!$F$2:$F$5000,"*→ "&amp;D$1&amp;"*"))</f>
        <v/>
      </c>
      <c r="E23" s="8">
        <f>IF($A23="","",COUNTIFS(Log!$A$2:$A$5000,$A23,Log!$F$2:$F$5000,"*→ "&amp;E$1&amp;"*"))</f>
        <v/>
      </c>
      <c r="F23" s="8">
        <f>IF($A23="","",COUNTIFS(Log!$A$2:$A$5000,$A23,Log!$F$2:$F$5000,"*→ "&amp;F$1&amp;"*"))</f>
        <v/>
      </c>
      <c r="G23" s="8">
        <f>IF($A23="","",COUNTIFS(Log!$A$2:$A$5000,$A23,Log!$F$2:$F$5000,"*→ "&amp;G$1&amp;"*"))</f>
        <v/>
      </c>
      <c r="H23" s="8">
        <f>IF($A23="","",COUNTIFS(Log!$A$2:$A$5000,$A23,Log!$F$2:$F$5000,"*→ "&amp;H$1&amp;"*"))</f>
        <v/>
      </c>
      <c r="I23" s="8">
        <f>IF($A23="","",COUNTIFS(Log!$A$2:$A$5000,$A23,Log!$F$2:$F$5000,"*→ "&amp;I$1&amp;"*"))</f>
        <v/>
      </c>
      <c r="J23" s="8">
        <f>IF($A23="","",COUNTIFS(Log!$A$2:$A$5000,$A23,Log!$F$2:$F$5000,"*→ "&amp;J$1&amp;"*"))</f>
        <v/>
      </c>
      <c r="K23" s="8">
        <f>IF($A23="","",COUNTIFS(Log!$A$2:$A$5000,$A23,Log!$F$2:$F$5000,"*→ "&amp;K$1&amp;"*"))</f>
        <v/>
      </c>
      <c r="L23" s="8">
        <f>IF($A23="","",COUNTIFS(Log!$A$2:$A$5000,$A23,Log!$F$2:$F$5000,"*→ "&amp;L$1&amp;"*"))</f>
        <v/>
      </c>
      <c r="M23" s="8">
        <f>IF($A23="","",COUNTIFS(Log!$A$2:$A$5000,$A23,Log!$F$2:$F$5000,"*→ "&amp;M$1&amp;"*"))</f>
        <v/>
      </c>
      <c r="N23" s="8">
        <f>IF($A23="","",COUNTIFS(Log!$A$2:$A$5000,$A23,Log!$F$2:$F$5000,"*→ "&amp;N$1&amp;"*"))</f>
        <v/>
      </c>
      <c r="O23" s="8">
        <f>IF($A23="","",COUNTIFS(Log!$A$2:$A$5000,$A23,Log!$F$2:$F$5000,"*→ "&amp;O$1&amp;"*"))</f>
        <v/>
      </c>
      <c r="P23" s="8">
        <f>IF($A23="","",COUNTIFS(Log!$A$2:$A$5000,$A23,Log!$F$2:$F$5000,"*→ "&amp;P$1&amp;"*"))</f>
        <v/>
      </c>
      <c r="Q23" s="8">
        <f>IF($A23="","",COUNTIFS(Log!$A$2:$A$5000,$A23,Log!$F$2:$F$5000,"*→ "&amp;Q$1&amp;"*"))</f>
        <v/>
      </c>
      <c r="R23" s="8">
        <f>IF($A23="","",COUNTIFS(Log!$A$2:$A$5000,$A23,Log!$F$2:$F$5000,"*→ "&amp;R$1&amp;"*"))</f>
        <v/>
      </c>
    </row>
    <row r="24">
      <c r="A24" s="8">
        <f>IF(Students!A24="","",Students!A24)</f>
        <v/>
      </c>
      <c r="B24" s="8">
        <f>IF($A24="","",COUNTIFS(Log!$A$2:$A$5000,$A24,Log!$F$2:$F$5000,"*→ "&amp;B$1&amp;"*"))</f>
        <v/>
      </c>
      <c r="C24" s="8">
        <f>IF($A24="","",COUNTIFS(Log!$A$2:$A$5000,$A24,Log!$F$2:$F$5000,"*→ "&amp;C$1&amp;"*"))</f>
        <v/>
      </c>
      <c r="D24" s="8">
        <f>IF($A24="","",COUNTIFS(Log!$A$2:$A$5000,$A24,Log!$F$2:$F$5000,"*→ "&amp;D$1&amp;"*"))</f>
        <v/>
      </c>
      <c r="E24" s="8">
        <f>IF($A24="","",COUNTIFS(Log!$A$2:$A$5000,$A24,Log!$F$2:$F$5000,"*→ "&amp;E$1&amp;"*"))</f>
        <v/>
      </c>
      <c r="F24" s="8">
        <f>IF($A24="","",COUNTIFS(Log!$A$2:$A$5000,$A24,Log!$F$2:$F$5000,"*→ "&amp;F$1&amp;"*"))</f>
        <v/>
      </c>
      <c r="G24" s="8">
        <f>IF($A24="","",COUNTIFS(Log!$A$2:$A$5000,$A24,Log!$F$2:$F$5000,"*→ "&amp;G$1&amp;"*"))</f>
        <v/>
      </c>
      <c r="H24" s="8">
        <f>IF($A24="","",COUNTIFS(Log!$A$2:$A$5000,$A24,Log!$F$2:$F$5000,"*→ "&amp;H$1&amp;"*"))</f>
        <v/>
      </c>
      <c r="I24" s="8">
        <f>IF($A24="","",COUNTIFS(Log!$A$2:$A$5000,$A24,Log!$F$2:$F$5000,"*→ "&amp;I$1&amp;"*"))</f>
        <v/>
      </c>
      <c r="J24" s="8">
        <f>IF($A24="","",COUNTIFS(Log!$A$2:$A$5000,$A24,Log!$F$2:$F$5000,"*→ "&amp;J$1&amp;"*"))</f>
        <v/>
      </c>
      <c r="K24" s="8">
        <f>IF($A24="","",COUNTIFS(Log!$A$2:$A$5000,$A24,Log!$F$2:$F$5000,"*→ "&amp;K$1&amp;"*"))</f>
        <v/>
      </c>
      <c r="L24" s="8">
        <f>IF($A24="","",COUNTIFS(Log!$A$2:$A$5000,$A24,Log!$F$2:$F$5000,"*→ "&amp;L$1&amp;"*"))</f>
        <v/>
      </c>
      <c r="M24" s="8">
        <f>IF($A24="","",COUNTIFS(Log!$A$2:$A$5000,$A24,Log!$F$2:$F$5000,"*→ "&amp;M$1&amp;"*"))</f>
        <v/>
      </c>
      <c r="N24" s="8">
        <f>IF($A24="","",COUNTIFS(Log!$A$2:$A$5000,$A24,Log!$F$2:$F$5000,"*→ "&amp;N$1&amp;"*"))</f>
        <v/>
      </c>
      <c r="O24" s="8">
        <f>IF($A24="","",COUNTIFS(Log!$A$2:$A$5000,$A24,Log!$F$2:$F$5000,"*→ "&amp;O$1&amp;"*"))</f>
        <v/>
      </c>
      <c r="P24" s="8">
        <f>IF($A24="","",COUNTIFS(Log!$A$2:$A$5000,$A24,Log!$F$2:$F$5000,"*→ "&amp;P$1&amp;"*"))</f>
        <v/>
      </c>
      <c r="Q24" s="8">
        <f>IF($A24="","",COUNTIFS(Log!$A$2:$A$5000,$A24,Log!$F$2:$F$5000,"*→ "&amp;Q$1&amp;"*"))</f>
        <v/>
      </c>
      <c r="R24" s="8">
        <f>IF($A24="","",COUNTIFS(Log!$A$2:$A$5000,$A24,Log!$F$2:$F$5000,"*→ "&amp;R$1&amp;"*"))</f>
        <v/>
      </c>
    </row>
    <row r="25">
      <c r="A25" s="8">
        <f>IF(Students!A25="","",Students!A25)</f>
        <v/>
      </c>
      <c r="B25" s="8">
        <f>IF($A25="","",COUNTIFS(Log!$A$2:$A$5000,$A25,Log!$F$2:$F$5000,"*→ "&amp;B$1&amp;"*"))</f>
        <v/>
      </c>
      <c r="C25" s="8">
        <f>IF($A25="","",COUNTIFS(Log!$A$2:$A$5000,$A25,Log!$F$2:$F$5000,"*→ "&amp;C$1&amp;"*"))</f>
        <v/>
      </c>
      <c r="D25" s="8">
        <f>IF($A25="","",COUNTIFS(Log!$A$2:$A$5000,$A25,Log!$F$2:$F$5000,"*→ "&amp;D$1&amp;"*"))</f>
        <v/>
      </c>
      <c r="E25" s="8">
        <f>IF($A25="","",COUNTIFS(Log!$A$2:$A$5000,$A25,Log!$F$2:$F$5000,"*→ "&amp;E$1&amp;"*"))</f>
        <v/>
      </c>
      <c r="F25" s="8">
        <f>IF($A25="","",COUNTIFS(Log!$A$2:$A$5000,$A25,Log!$F$2:$F$5000,"*→ "&amp;F$1&amp;"*"))</f>
        <v/>
      </c>
      <c r="G25" s="8">
        <f>IF($A25="","",COUNTIFS(Log!$A$2:$A$5000,$A25,Log!$F$2:$F$5000,"*→ "&amp;G$1&amp;"*"))</f>
        <v/>
      </c>
      <c r="H25" s="8">
        <f>IF($A25="","",COUNTIFS(Log!$A$2:$A$5000,$A25,Log!$F$2:$F$5000,"*→ "&amp;H$1&amp;"*"))</f>
        <v/>
      </c>
      <c r="I25" s="8">
        <f>IF($A25="","",COUNTIFS(Log!$A$2:$A$5000,$A25,Log!$F$2:$F$5000,"*→ "&amp;I$1&amp;"*"))</f>
        <v/>
      </c>
      <c r="J25" s="8">
        <f>IF($A25="","",COUNTIFS(Log!$A$2:$A$5000,$A25,Log!$F$2:$F$5000,"*→ "&amp;J$1&amp;"*"))</f>
        <v/>
      </c>
      <c r="K25" s="8">
        <f>IF($A25="","",COUNTIFS(Log!$A$2:$A$5000,$A25,Log!$F$2:$F$5000,"*→ "&amp;K$1&amp;"*"))</f>
        <v/>
      </c>
      <c r="L25" s="8">
        <f>IF($A25="","",COUNTIFS(Log!$A$2:$A$5000,$A25,Log!$F$2:$F$5000,"*→ "&amp;L$1&amp;"*"))</f>
        <v/>
      </c>
      <c r="M25" s="8">
        <f>IF($A25="","",COUNTIFS(Log!$A$2:$A$5000,$A25,Log!$F$2:$F$5000,"*→ "&amp;M$1&amp;"*"))</f>
        <v/>
      </c>
      <c r="N25" s="8">
        <f>IF($A25="","",COUNTIFS(Log!$A$2:$A$5000,$A25,Log!$F$2:$F$5000,"*→ "&amp;N$1&amp;"*"))</f>
        <v/>
      </c>
      <c r="O25" s="8">
        <f>IF($A25="","",COUNTIFS(Log!$A$2:$A$5000,$A25,Log!$F$2:$F$5000,"*→ "&amp;O$1&amp;"*"))</f>
        <v/>
      </c>
      <c r="P25" s="8">
        <f>IF($A25="","",COUNTIFS(Log!$A$2:$A$5000,$A25,Log!$F$2:$F$5000,"*→ "&amp;P$1&amp;"*"))</f>
        <v/>
      </c>
      <c r="Q25" s="8">
        <f>IF($A25="","",COUNTIFS(Log!$A$2:$A$5000,$A25,Log!$F$2:$F$5000,"*→ "&amp;Q$1&amp;"*"))</f>
        <v/>
      </c>
      <c r="R25" s="8">
        <f>IF($A25="","",COUNTIFS(Log!$A$2:$A$5000,$A25,Log!$F$2:$F$5000,"*→ "&amp;R$1&amp;"*"))</f>
        <v/>
      </c>
    </row>
    <row r="26">
      <c r="A26" s="8">
        <f>IF(Students!A26="","",Students!A26)</f>
        <v/>
      </c>
      <c r="B26" s="8">
        <f>IF($A26="","",COUNTIFS(Log!$A$2:$A$5000,$A26,Log!$F$2:$F$5000,"*→ "&amp;B$1&amp;"*"))</f>
        <v/>
      </c>
      <c r="C26" s="8">
        <f>IF($A26="","",COUNTIFS(Log!$A$2:$A$5000,$A26,Log!$F$2:$F$5000,"*→ "&amp;C$1&amp;"*"))</f>
        <v/>
      </c>
      <c r="D26" s="8">
        <f>IF($A26="","",COUNTIFS(Log!$A$2:$A$5000,$A26,Log!$F$2:$F$5000,"*→ "&amp;D$1&amp;"*"))</f>
        <v/>
      </c>
      <c r="E26" s="8">
        <f>IF($A26="","",COUNTIFS(Log!$A$2:$A$5000,$A26,Log!$F$2:$F$5000,"*→ "&amp;E$1&amp;"*"))</f>
        <v/>
      </c>
      <c r="F26" s="8">
        <f>IF($A26="","",COUNTIFS(Log!$A$2:$A$5000,$A26,Log!$F$2:$F$5000,"*→ "&amp;F$1&amp;"*"))</f>
        <v/>
      </c>
      <c r="G26" s="8">
        <f>IF($A26="","",COUNTIFS(Log!$A$2:$A$5000,$A26,Log!$F$2:$F$5000,"*→ "&amp;G$1&amp;"*"))</f>
        <v/>
      </c>
      <c r="H26" s="8">
        <f>IF($A26="","",COUNTIFS(Log!$A$2:$A$5000,$A26,Log!$F$2:$F$5000,"*→ "&amp;H$1&amp;"*"))</f>
        <v/>
      </c>
      <c r="I26" s="8">
        <f>IF($A26="","",COUNTIFS(Log!$A$2:$A$5000,$A26,Log!$F$2:$F$5000,"*→ "&amp;I$1&amp;"*"))</f>
        <v/>
      </c>
      <c r="J26" s="8">
        <f>IF($A26="","",COUNTIFS(Log!$A$2:$A$5000,$A26,Log!$F$2:$F$5000,"*→ "&amp;J$1&amp;"*"))</f>
        <v/>
      </c>
      <c r="K26" s="8">
        <f>IF($A26="","",COUNTIFS(Log!$A$2:$A$5000,$A26,Log!$F$2:$F$5000,"*→ "&amp;K$1&amp;"*"))</f>
        <v/>
      </c>
      <c r="L26" s="8">
        <f>IF($A26="","",COUNTIFS(Log!$A$2:$A$5000,$A26,Log!$F$2:$F$5000,"*→ "&amp;L$1&amp;"*"))</f>
        <v/>
      </c>
      <c r="M26" s="8">
        <f>IF($A26="","",COUNTIFS(Log!$A$2:$A$5000,$A26,Log!$F$2:$F$5000,"*→ "&amp;M$1&amp;"*"))</f>
        <v/>
      </c>
      <c r="N26" s="8">
        <f>IF($A26="","",COUNTIFS(Log!$A$2:$A$5000,$A26,Log!$F$2:$F$5000,"*→ "&amp;N$1&amp;"*"))</f>
        <v/>
      </c>
      <c r="O26" s="8">
        <f>IF($A26="","",COUNTIFS(Log!$A$2:$A$5000,$A26,Log!$F$2:$F$5000,"*→ "&amp;O$1&amp;"*"))</f>
        <v/>
      </c>
      <c r="P26" s="8">
        <f>IF($A26="","",COUNTIFS(Log!$A$2:$A$5000,$A26,Log!$F$2:$F$5000,"*→ "&amp;P$1&amp;"*"))</f>
        <v/>
      </c>
      <c r="Q26" s="8">
        <f>IF($A26="","",COUNTIFS(Log!$A$2:$A$5000,$A26,Log!$F$2:$F$5000,"*→ "&amp;Q$1&amp;"*"))</f>
        <v/>
      </c>
      <c r="R26" s="8">
        <f>IF($A26="","",COUNTIFS(Log!$A$2:$A$5000,$A26,Log!$F$2:$F$5000,"*→ "&amp;R$1&amp;"*"))</f>
        <v/>
      </c>
    </row>
    <row r="27">
      <c r="A27" s="8">
        <f>IF(Students!A27="","",Students!A27)</f>
        <v/>
      </c>
      <c r="B27" s="8">
        <f>IF($A27="","",COUNTIFS(Log!$A$2:$A$5000,$A27,Log!$F$2:$F$5000,"*→ "&amp;B$1&amp;"*"))</f>
        <v/>
      </c>
      <c r="C27" s="8">
        <f>IF($A27="","",COUNTIFS(Log!$A$2:$A$5000,$A27,Log!$F$2:$F$5000,"*→ "&amp;C$1&amp;"*"))</f>
        <v/>
      </c>
      <c r="D27" s="8">
        <f>IF($A27="","",COUNTIFS(Log!$A$2:$A$5000,$A27,Log!$F$2:$F$5000,"*→ "&amp;D$1&amp;"*"))</f>
        <v/>
      </c>
      <c r="E27" s="8">
        <f>IF($A27="","",COUNTIFS(Log!$A$2:$A$5000,$A27,Log!$F$2:$F$5000,"*→ "&amp;E$1&amp;"*"))</f>
        <v/>
      </c>
      <c r="F27" s="8">
        <f>IF($A27="","",COUNTIFS(Log!$A$2:$A$5000,$A27,Log!$F$2:$F$5000,"*→ "&amp;F$1&amp;"*"))</f>
        <v/>
      </c>
      <c r="G27" s="8">
        <f>IF($A27="","",COUNTIFS(Log!$A$2:$A$5000,$A27,Log!$F$2:$F$5000,"*→ "&amp;G$1&amp;"*"))</f>
        <v/>
      </c>
      <c r="H27" s="8">
        <f>IF($A27="","",COUNTIFS(Log!$A$2:$A$5000,$A27,Log!$F$2:$F$5000,"*→ "&amp;H$1&amp;"*"))</f>
        <v/>
      </c>
      <c r="I27" s="8">
        <f>IF($A27="","",COUNTIFS(Log!$A$2:$A$5000,$A27,Log!$F$2:$F$5000,"*→ "&amp;I$1&amp;"*"))</f>
        <v/>
      </c>
      <c r="J27" s="8">
        <f>IF($A27="","",COUNTIFS(Log!$A$2:$A$5000,$A27,Log!$F$2:$F$5000,"*→ "&amp;J$1&amp;"*"))</f>
        <v/>
      </c>
      <c r="K27" s="8">
        <f>IF($A27="","",COUNTIFS(Log!$A$2:$A$5000,$A27,Log!$F$2:$F$5000,"*→ "&amp;K$1&amp;"*"))</f>
        <v/>
      </c>
      <c r="L27" s="8">
        <f>IF($A27="","",COUNTIFS(Log!$A$2:$A$5000,$A27,Log!$F$2:$F$5000,"*→ "&amp;L$1&amp;"*"))</f>
        <v/>
      </c>
      <c r="M27" s="8">
        <f>IF($A27="","",COUNTIFS(Log!$A$2:$A$5000,$A27,Log!$F$2:$F$5000,"*→ "&amp;M$1&amp;"*"))</f>
        <v/>
      </c>
      <c r="N27" s="8">
        <f>IF($A27="","",COUNTIFS(Log!$A$2:$A$5000,$A27,Log!$F$2:$F$5000,"*→ "&amp;N$1&amp;"*"))</f>
        <v/>
      </c>
      <c r="O27" s="8">
        <f>IF($A27="","",COUNTIFS(Log!$A$2:$A$5000,$A27,Log!$F$2:$F$5000,"*→ "&amp;O$1&amp;"*"))</f>
        <v/>
      </c>
      <c r="P27" s="8">
        <f>IF($A27="","",COUNTIFS(Log!$A$2:$A$5000,$A27,Log!$F$2:$F$5000,"*→ "&amp;P$1&amp;"*"))</f>
        <v/>
      </c>
      <c r="Q27" s="8">
        <f>IF($A27="","",COUNTIFS(Log!$A$2:$A$5000,$A27,Log!$F$2:$F$5000,"*→ "&amp;Q$1&amp;"*"))</f>
        <v/>
      </c>
      <c r="R27" s="8">
        <f>IF($A27="","",COUNTIFS(Log!$A$2:$A$5000,$A27,Log!$F$2:$F$5000,"*→ "&amp;R$1&amp;"*"))</f>
        <v/>
      </c>
    </row>
    <row r="28">
      <c r="A28" s="8">
        <f>IF(Students!A28="","",Students!A28)</f>
        <v/>
      </c>
      <c r="B28" s="8">
        <f>IF($A28="","",COUNTIFS(Log!$A$2:$A$5000,$A28,Log!$F$2:$F$5000,"*→ "&amp;B$1&amp;"*"))</f>
        <v/>
      </c>
      <c r="C28" s="8">
        <f>IF($A28="","",COUNTIFS(Log!$A$2:$A$5000,$A28,Log!$F$2:$F$5000,"*→ "&amp;C$1&amp;"*"))</f>
        <v/>
      </c>
      <c r="D28" s="8">
        <f>IF($A28="","",COUNTIFS(Log!$A$2:$A$5000,$A28,Log!$F$2:$F$5000,"*→ "&amp;D$1&amp;"*"))</f>
        <v/>
      </c>
      <c r="E28" s="8">
        <f>IF($A28="","",COUNTIFS(Log!$A$2:$A$5000,$A28,Log!$F$2:$F$5000,"*→ "&amp;E$1&amp;"*"))</f>
        <v/>
      </c>
      <c r="F28" s="8">
        <f>IF($A28="","",COUNTIFS(Log!$A$2:$A$5000,$A28,Log!$F$2:$F$5000,"*→ "&amp;F$1&amp;"*"))</f>
        <v/>
      </c>
      <c r="G28" s="8">
        <f>IF($A28="","",COUNTIFS(Log!$A$2:$A$5000,$A28,Log!$F$2:$F$5000,"*→ "&amp;G$1&amp;"*"))</f>
        <v/>
      </c>
      <c r="H28" s="8">
        <f>IF($A28="","",COUNTIFS(Log!$A$2:$A$5000,$A28,Log!$F$2:$F$5000,"*→ "&amp;H$1&amp;"*"))</f>
        <v/>
      </c>
      <c r="I28" s="8">
        <f>IF($A28="","",COUNTIFS(Log!$A$2:$A$5000,$A28,Log!$F$2:$F$5000,"*→ "&amp;I$1&amp;"*"))</f>
        <v/>
      </c>
      <c r="J28" s="8">
        <f>IF($A28="","",COUNTIFS(Log!$A$2:$A$5000,$A28,Log!$F$2:$F$5000,"*→ "&amp;J$1&amp;"*"))</f>
        <v/>
      </c>
      <c r="K28" s="8">
        <f>IF($A28="","",COUNTIFS(Log!$A$2:$A$5000,$A28,Log!$F$2:$F$5000,"*→ "&amp;K$1&amp;"*"))</f>
        <v/>
      </c>
      <c r="L28" s="8">
        <f>IF($A28="","",COUNTIFS(Log!$A$2:$A$5000,$A28,Log!$F$2:$F$5000,"*→ "&amp;L$1&amp;"*"))</f>
        <v/>
      </c>
      <c r="M28" s="8">
        <f>IF($A28="","",COUNTIFS(Log!$A$2:$A$5000,$A28,Log!$F$2:$F$5000,"*→ "&amp;M$1&amp;"*"))</f>
        <v/>
      </c>
      <c r="N28" s="8">
        <f>IF($A28="","",COUNTIFS(Log!$A$2:$A$5000,$A28,Log!$F$2:$F$5000,"*→ "&amp;N$1&amp;"*"))</f>
        <v/>
      </c>
      <c r="O28" s="8">
        <f>IF($A28="","",COUNTIFS(Log!$A$2:$A$5000,$A28,Log!$F$2:$F$5000,"*→ "&amp;O$1&amp;"*"))</f>
        <v/>
      </c>
      <c r="P28" s="8">
        <f>IF($A28="","",COUNTIFS(Log!$A$2:$A$5000,$A28,Log!$F$2:$F$5000,"*→ "&amp;P$1&amp;"*"))</f>
        <v/>
      </c>
      <c r="Q28" s="8">
        <f>IF($A28="","",COUNTIFS(Log!$A$2:$A$5000,$A28,Log!$F$2:$F$5000,"*→ "&amp;Q$1&amp;"*"))</f>
        <v/>
      </c>
      <c r="R28" s="8">
        <f>IF($A28="","",COUNTIFS(Log!$A$2:$A$5000,$A28,Log!$F$2:$F$5000,"*→ "&amp;R$1&amp;"*"))</f>
        <v/>
      </c>
    </row>
    <row r="29">
      <c r="A29" s="8">
        <f>IF(Students!A29="","",Students!A29)</f>
        <v/>
      </c>
      <c r="B29" s="8">
        <f>IF($A29="","",COUNTIFS(Log!$A$2:$A$5000,$A29,Log!$F$2:$F$5000,"*→ "&amp;B$1&amp;"*"))</f>
        <v/>
      </c>
      <c r="C29" s="8">
        <f>IF($A29="","",COUNTIFS(Log!$A$2:$A$5000,$A29,Log!$F$2:$F$5000,"*→ "&amp;C$1&amp;"*"))</f>
        <v/>
      </c>
      <c r="D29" s="8">
        <f>IF($A29="","",COUNTIFS(Log!$A$2:$A$5000,$A29,Log!$F$2:$F$5000,"*→ "&amp;D$1&amp;"*"))</f>
        <v/>
      </c>
      <c r="E29" s="8">
        <f>IF($A29="","",COUNTIFS(Log!$A$2:$A$5000,$A29,Log!$F$2:$F$5000,"*→ "&amp;E$1&amp;"*"))</f>
        <v/>
      </c>
      <c r="F29" s="8">
        <f>IF($A29="","",COUNTIFS(Log!$A$2:$A$5000,$A29,Log!$F$2:$F$5000,"*→ "&amp;F$1&amp;"*"))</f>
        <v/>
      </c>
      <c r="G29" s="8">
        <f>IF($A29="","",COUNTIFS(Log!$A$2:$A$5000,$A29,Log!$F$2:$F$5000,"*→ "&amp;G$1&amp;"*"))</f>
        <v/>
      </c>
      <c r="H29" s="8">
        <f>IF($A29="","",COUNTIFS(Log!$A$2:$A$5000,$A29,Log!$F$2:$F$5000,"*→ "&amp;H$1&amp;"*"))</f>
        <v/>
      </c>
      <c r="I29" s="8">
        <f>IF($A29="","",COUNTIFS(Log!$A$2:$A$5000,$A29,Log!$F$2:$F$5000,"*→ "&amp;I$1&amp;"*"))</f>
        <v/>
      </c>
      <c r="J29" s="8">
        <f>IF($A29="","",COUNTIFS(Log!$A$2:$A$5000,$A29,Log!$F$2:$F$5000,"*→ "&amp;J$1&amp;"*"))</f>
        <v/>
      </c>
      <c r="K29" s="8">
        <f>IF($A29="","",COUNTIFS(Log!$A$2:$A$5000,$A29,Log!$F$2:$F$5000,"*→ "&amp;K$1&amp;"*"))</f>
        <v/>
      </c>
      <c r="L29" s="8">
        <f>IF($A29="","",COUNTIFS(Log!$A$2:$A$5000,$A29,Log!$F$2:$F$5000,"*→ "&amp;L$1&amp;"*"))</f>
        <v/>
      </c>
      <c r="M29" s="8">
        <f>IF($A29="","",COUNTIFS(Log!$A$2:$A$5000,$A29,Log!$F$2:$F$5000,"*→ "&amp;M$1&amp;"*"))</f>
        <v/>
      </c>
      <c r="N29" s="8">
        <f>IF($A29="","",COUNTIFS(Log!$A$2:$A$5000,$A29,Log!$F$2:$F$5000,"*→ "&amp;N$1&amp;"*"))</f>
        <v/>
      </c>
      <c r="O29" s="8">
        <f>IF($A29="","",COUNTIFS(Log!$A$2:$A$5000,$A29,Log!$F$2:$F$5000,"*→ "&amp;O$1&amp;"*"))</f>
        <v/>
      </c>
      <c r="P29" s="8">
        <f>IF($A29="","",COUNTIFS(Log!$A$2:$A$5000,$A29,Log!$F$2:$F$5000,"*→ "&amp;P$1&amp;"*"))</f>
        <v/>
      </c>
      <c r="Q29" s="8">
        <f>IF($A29="","",COUNTIFS(Log!$A$2:$A$5000,$A29,Log!$F$2:$F$5000,"*→ "&amp;Q$1&amp;"*"))</f>
        <v/>
      </c>
      <c r="R29" s="8">
        <f>IF($A29="","",COUNTIFS(Log!$A$2:$A$5000,$A29,Log!$F$2:$F$5000,"*→ "&amp;R$1&amp;"*"))</f>
        <v/>
      </c>
    </row>
    <row r="30">
      <c r="A30" s="8">
        <f>IF(Students!A30="","",Students!A30)</f>
        <v/>
      </c>
      <c r="B30" s="8">
        <f>IF($A30="","",COUNTIFS(Log!$A$2:$A$5000,$A30,Log!$F$2:$F$5000,"*→ "&amp;B$1&amp;"*"))</f>
        <v/>
      </c>
      <c r="C30" s="8">
        <f>IF($A30="","",COUNTIFS(Log!$A$2:$A$5000,$A30,Log!$F$2:$F$5000,"*→ "&amp;C$1&amp;"*"))</f>
        <v/>
      </c>
      <c r="D30" s="8">
        <f>IF($A30="","",COUNTIFS(Log!$A$2:$A$5000,$A30,Log!$F$2:$F$5000,"*→ "&amp;D$1&amp;"*"))</f>
        <v/>
      </c>
      <c r="E30" s="8">
        <f>IF($A30="","",COUNTIFS(Log!$A$2:$A$5000,$A30,Log!$F$2:$F$5000,"*→ "&amp;E$1&amp;"*"))</f>
        <v/>
      </c>
      <c r="F30" s="8">
        <f>IF($A30="","",COUNTIFS(Log!$A$2:$A$5000,$A30,Log!$F$2:$F$5000,"*→ "&amp;F$1&amp;"*"))</f>
        <v/>
      </c>
      <c r="G30" s="8">
        <f>IF($A30="","",COUNTIFS(Log!$A$2:$A$5000,$A30,Log!$F$2:$F$5000,"*→ "&amp;G$1&amp;"*"))</f>
        <v/>
      </c>
      <c r="H30" s="8">
        <f>IF($A30="","",COUNTIFS(Log!$A$2:$A$5000,$A30,Log!$F$2:$F$5000,"*→ "&amp;H$1&amp;"*"))</f>
        <v/>
      </c>
      <c r="I30" s="8">
        <f>IF($A30="","",COUNTIFS(Log!$A$2:$A$5000,$A30,Log!$F$2:$F$5000,"*→ "&amp;I$1&amp;"*"))</f>
        <v/>
      </c>
      <c r="J30" s="8">
        <f>IF($A30="","",COUNTIFS(Log!$A$2:$A$5000,$A30,Log!$F$2:$F$5000,"*→ "&amp;J$1&amp;"*"))</f>
        <v/>
      </c>
      <c r="K30" s="8">
        <f>IF($A30="","",COUNTIFS(Log!$A$2:$A$5000,$A30,Log!$F$2:$F$5000,"*→ "&amp;K$1&amp;"*"))</f>
        <v/>
      </c>
      <c r="L30" s="8">
        <f>IF($A30="","",COUNTIFS(Log!$A$2:$A$5000,$A30,Log!$F$2:$F$5000,"*→ "&amp;L$1&amp;"*"))</f>
        <v/>
      </c>
      <c r="M30" s="8">
        <f>IF($A30="","",COUNTIFS(Log!$A$2:$A$5000,$A30,Log!$F$2:$F$5000,"*→ "&amp;M$1&amp;"*"))</f>
        <v/>
      </c>
      <c r="N30" s="8">
        <f>IF($A30="","",COUNTIFS(Log!$A$2:$A$5000,$A30,Log!$F$2:$F$5000,"*→ "&amp;N$1&amp;"*"))</f>
        <v/>
      </c>
      <c r="O30" s="8">
        <f>IF($A30="","",COUNTIFS(Log!$A$2:$A$5000,$A30,Log!$F$2:$F$5000,"*→ "&amp;O$1&amp;"*"))</f>
        <v/>
      </c>
      <c r="P30" s="8">
        <f>IF($A30="","",COUNTIFS(Log!$A$2:$A$5000,$A30,Log!$F$2:$F$5000,"*→ "&amp;P$1&amp;"*"))</f>
        <v/>
      </c>
      <c r="Q30" s="8">
        <f>IF($A30="","",COUNTIFS(Log!$A$2:$A$5000,$A30,Log!$F$2:$F$5000,"*→ "&amp;Q$1&amp;"*"))</f>
        <v/>
      </c>
      <c r="R30" s="8">
        <f>IF($A30="","",COUNTIFS(Log!$A$2:$A$5000,$A30,Log!$F$2:$F$5000,"*→ "&amp;R$1&amp;"*"))</f>
        <v/>
      </c>
    </row>
    <row r="31">
      <c r="A31" s="8">
        <f>IF(Students!A31="","",Students!A31)</f>
        <v/>
      </c>
      <c r="B31" s="8">
        <f>IF($A31="","",COUNTIFS(Log!$A$2:$A$5000,$A31,Log!$F$2:$F$5000,"*→ "&amp;B$1&amp;"*"))</f>
        <v/>
      </c>
      <c r="C31" s="8">
        <f>IF($A31="","",COUNTIFS(Log!$A$2:$A$5000,$A31,Log!$F$2:$F$5000,"*→ "&amp;C$1&amp;"*"))</f>
        <v/>
      </c>
      <c r="D31" s="8">
        <f>IF($A31="","",COUNTIFS(Log!$A$2:$A$5000,$A31,Log!$F$2:$F$5000,"*→ "&amp;D$1&amp;"*"))</f>
        <v/>
      </c>
      <c r="E31" s="8">
        <f>IF($A31="","",COUNTIFS(Log!$A$2:$A$5000,$A31,Log!$F$2:$F$5000,"*→ "&amp;E$1&amp;"*"))</f>
        <v/>
      </c>
      <c r="F31" s="8">
        <f>IF($A31="","",COUNTIFS(Log!$A$2:$A$5000,$A31,Log!$F$2:$F$5000,"*→ "&amp;F$1&amp;"*"))</f>
        <v/>
      </c>
      <c r="G31" s="8">
        <f>IF($A31="","",COUNTIFS(Log!$A$2:$A$5000,$A31,Log!$F$2:$F$5000,"*→ "&amp;G$1&amp;"*"))</f>
        <v/>
      </c>
      <c r="H31" s="8">
        <f>IF($A31="","",COUNTIFS(Log!$A$2:$A$5000,$A31,Log!$F$2:$F$5000,"*→ "&amp;H$1&amp;"*"))</f>
        <v/>
      </c>
      <c r="I31" s="8">
        <f>IF($A31="","",COUNTIFS(Log!$A$2:$A$5000,$A31,Log!$F$2:$F$5000,"*→ "&amp;I$1&amp;"*"))</f>
        <v/>
      </c>
      <c r="J31" s="8">
        <f>IF($A31="","",COUNTIFS(Log!$A$2:$A$5000,$A31,Log!$F$2:$F$5000,"*→ "&amp;J$1&amp;"*"))</f>
        <v/>
      </c>
      <c r="K31" s="8">
        <f>IF($A31="","",COUNTIFS(Log!$A$2:$A$5000,$A31,Log!$F$2:$F$5000,"*→ "&amp;K$1&amp;"*"))</f>
        <v/>
      </c>
      <c r="L31" s="8">
        <f>IF($A31="","",COUNTIFS(Log!$A$2:$A$5000,$A31,Log!$F$2:$F$5000,"*→ "&amp;L$1&amp;"*"))</f>
        <v/>
      </c>
      <c r="M31" s="8">
        <f>IF($A31="","",COUNTIFS(Log!$A$2:$A$5000,$A31,Log!$F$2:$F$5000,"*→ "&amp;M$1&amp;"*"))</f>
        <v/>
      </c>
      <c r="N31" s="8">
        <f>IF($A31="","",COUNTIFS(Log!$A$2:$A$5000,$A31,Log!$F$2:$F$5000,"*→ "&amp;N$1&amp;"*"))</f>
        <v/>
      </c>
      <c r="O31" s="8">
        <f>IF($A31="","",COUNTIFS(Log!$A$2:$A$5000,$A31,Log!$F$2:$F$5000,"*→ "&amp;O$1&amp;"*"))</f>
        <v/>
      </c>
      <c r="P31" s="8">
        <f>IF($A31="","",COUNTIFS(Log!$A$2:$A$5000,$A31,Log!$F$2:$F$5000,"*→ "&amp;P$1&amp;"*"))</f>
        <v/>
      </c>
      <c r="Q31" s="8">
        <f>IF($A31="","",COUNTIFS(Log!$A$2:$A$5000,$A31,Log!$F$2:$F$5000,"*→ "&amp;Q$1&amp;"*"))</f>
        <v/>
      </c>
      <c r="R31" s="8">
        <f>IF($A31="","",COUNTIFS(Log!$A$2:$A$5000,$A31,Log!$F$2:$F$5000,"*→ "&amp;R$1&amp;"*"))</f>
        <v/>
      </c>
    </row>
    <row r="32">
      <c r="A32" s="8">
        <f>IF(Students!A32="","",Students!A32)</f>
        <v/>
      </c>
      <c r="B32" s="8">
        <f>IF($A32="","",COUNTIFS(Log!$A$2:$A$5000,$A32,Log!$F$2:$F$5000,"*→ "&amp;B$1&amp;"*"))</f>
        <v/>
      </c>
      <c r="C32" s="8">
        <f>IF($A32="","",COUNTIFS(Log!$A$2:$A$5000,$A32,Log!$F$2:$F$5000,"*→ "&amp;C$1&amp;"*"))</f>
        <v/>
      </c>
      <c r="D32" s="8">
        <f>IF($A32="","",COUNTIFS(Log!$A$2:$A$5000,$A32,Log!$F$2:$F$5000,"*→ "&amp;D$1&amp;"*"))</f>
        <v/>
      </c>
      <c r="E32" s="8">
        <f>IF($A32="","",COUNTIFS(Log!$A$2:$A$5000,$A32,Log!$F$2:$F$5000,"*→ "&amp;E$1&amp;"*"))</f>
        <v/>
      </c>
      <c r="F32" s="8">
        <f>IF($A32="","",COUNTIFS(Log!$A$2:$A$5000,$A32,Log!$F$2:$F$5000,"*→ "&amp;F$1&amp;"*"))</f>
        <v/>
      </c>
      <c r="G32" s="8">
        <f>IF($A32="","",COUNTIFS(Log!$A$2:$A$5000,$A32,Log!$F$2:$F$5000,"*→ "&amp;G$1&amp;"*"))</f>
        <v/>
      </c>
      <c r="H32" s="8">
        <f>IF($A32="","",COUNTIFS(Log!$A$2:$A$5000,$A32,Log!$F$2:$F$5000,"*→ "&amp;H$1&amp;"*"))</f>
        <v/>
      </c>
      <c r="I32" s="8">
        <f>IF($A32="","",COUNTIFS(Log!$A$2:$A$5000,$A32,Log!$F$2:$F$5000,"*→ "&amp;I$1&amp;"*"))</f>
        <v/>
      </c>
      <c r="J32" s="8">
        <f>IF($A32="","",COUNTIFS(Log!$A$2:$A$5000,$A32,Log!$F$2:$F$5000,"*→ "&amp;J$1&amp;"*"))</f>
        <v/>
      </c>
      <c r="K32" s="8">
        <f>IF($A32="","",COUNTIFS(Log!$A$2:$A$5000,$A32,Log!$F$2:$F$5000,"*→ "&amp;K$1&amp;"*"))</f>
        <v/>
      </c>
      <c r="L32" s="8">
        <f>IF($A32="","",COUNTIFS(Log!$A$2:$A$5000,$A32,Log!$F$2:$F$5000,"*→ "&amp;L$1&amp;"*"))</f>
        <v/>
      </c>
      <c r="M32" s="8">
        <f>IF($A32="","",COUNTIFS(Log!$A$2:$A$5000,$A32,Log!$F$2:$F$5000,"*→ "&amp;M$1&amp;"*"))</f>
        <v/>
      </c>
      <c r="N32" s="8">
        <f>IF($A32="","",COUNTIFS(Log!$A$2:$A$5000,$A32,Log!$F$2:$F$5000,"*→ "&amp;N$1&amp;"*"))</f>
        <v/>
      </c>
      <c r="O32" s="8">
        <f>IF($A32="","",COUNTIFS(Log!$A$2:$A$5000,$A32,Log!$F$2:$F$5000,"*→ "&amp;O$1&amp;"*"))</f>
        <v/>
      </c>
      <c r="P32" s="8">
        <f>IF($A32="","",COUNTIFS(Log!$A$2:$A$5000,$A32,Log!$F$2:$F$5000,"*→ "&amp;P$1&amp;"*"))</f>
        <v/>
      </c>
      <c r="Q32" s="8">
        <f>IF($A32="","",COUNTIFS(Log!$A$2:$A$5000,$A32,Log!$F$2:$F$5000,"*→ "&amp;Q$1&amp;"*"))</f>
        <v/>
      </c>
      <c r="R32" s="8">
        <f>IF($A32="","",COUNTIFS(Log!$A$2:$A$5000,$A32,Log!$F$2:$F$5000,"*→ "&amp;R$1&amp;"*"))</f>
        <v/>
      </c>
    </row>
    <row r="33">
      <c r="A33" s="8">
        <f>IF(Students!A33="","",Students!A33)</f>
        <v/>
      </c>
      <c r="B33" s="8">
        <f>IF($A33="","",COUNTIFS(Log!$A$2:$A$5000,$A33,Log!$F$2:$F$5000,"*→ "&amp;B$1&amp;"*"))</f>
        <v/>
      </c>
      <c r="C33" s="8">
        <f>IF($A33="","",COUNTIFS(Log!$A$2:$A$5000,$A33,Log!$F$2:$F$5000,"*→ "&amp;C$1&amp;"*"))</f>
        <v/>
      </c>
      <c r="D33" s="8">
        <f>IF($A33="","",COUNTIFS(Log!$A$2:$A$5000,$A33,Log!$F$2:$F$5000,"*→ "&amp;D$1&amp;"*"))</f>
        <v/>
      </c>
      <c r="E33" s="8">
        <f>IF($A33="","",COUNTIFS(Log!$A$2:$A$5000,$A33,Log!$F$2:$F$5000,"*→ "&amp;E$1&amp;"*"))</f>
        <v/>
      </c>
      <c r="F33" s="8">
        <f>IF($A33="","",COUNTIFS(Log!$A$2:$A$5000,$A33,Log!$F$2:$F$5000,"*→ "&amp;F$1&amp;"*"))</f>
        <v/>
      </c>
      <c r="G33" s="8">
        <f>IF($A33="","",COUNTIFS(Log!$A$2:$A$5000,$A33,Log!$F$2:$F$5000,"*→ "&amp;G$1&amp;"*"))</f>
        <v/>
      </c>
      <c r="H33" s="8">
        <f>IF($A33="","",COUNTIFS(Log!$A$2:$A$5000,$A33,Log!$F$2:$F$5000,"*→ "&amp;H$1&amp;"*"))</f>
        <v/>
      </c>
      <c r="I33" s="8">
        <f>IF($A33="","",COUNTIFS(Log!$A$2:$A$5000,$A33,Log!$F$2:$F$5000,"*→ "&amp;I$1&amp;"*"))</f>
        <v/>
      </c>
      <c r="J33" s="8">
        <f>IF($A33="","",COUNTIFS(Log!$A$2:$A$5000,$A33,Log!$F$2:$F$5000,"*→ "&amp;J$1&amp;"*"))</f>
        <v/>
      </c>
      <c r="K33" s="8">
        <f>IF($A33="","",COUNTIFS(Log!$A$2:$A$5000,$A33,Log!$F$2:$F$5000,"*→ "&amp;K$1&amp;"*"))</f>
        <v/>
      </c>
      <c r="L33" s="8">
        <f>IF($A33="","",COUNTIFS(Log!$A$2:$A$5000,$A33,Log!$F$2:$F$5000,"*→ "&amp;L$1&amp;"*"))</f>
        <v/>
      </c>
      <c r="M33" s="8">
        <f>IF($A33="","",COUNTIFS(Log!$A$2:$A$5000,$A33,Log!$F$2:$F$5000,"*→ "&amp;M$1&amp;"*"))</f>
        <v/>
      </c>
      <c r="N33" s="8">
        <f>IF($A33="","",COUNTIFS(Log!$A$2:$A$5000,$A33,Log!$F$2:$F$5000,"*→ "&amp;N$1&amp;"*"))</f>
        <v/>
      </c>
      <c r="O33" s="8">
        <f>IF($A33="","",COUNTIFS(Log!$A$2:$A$5000,$A33,Log!$F$2:$F$5000,"*→ "&amp;O$1&amp;"*"))</f>
        <v/>
      </c>
      <c r="P33" s="8">
        <f>IF($A33="","",COUNTIFS(Log!$A$2:$A$5000,$A33,Log!$F$2:$F$5000,"*→ "&amp;P$1&amp;"*"))</f>
        <v/>
      </c>
      <c r="Q33" s="8">
        <f>IF($A33="","",COUNTIFS(Log!$A$2:$A$5000,$A33,Log!$F$2:$F$5000,"*→ "&amp;Q$1&amp;"*"))</f>
        <v/>
      </c>
      <c r="R33" s="8">
        <f>IF($A33="","",COUNTIFS(Log!$A$2:$A$5000,$A33,Log!$F$2:$F$5000,"*→ "&amp;R$1&amp;"*"))</f>
        <v/>
      </c>
    </row>
    <row r="34">
      <c r="A34" s="8">
        <f>IF(Students!A34="","",Students!A34)</f>
        <v/>
      </c>
      <c r="B34" s="8">
        <f>IF($A34="","",COUNTIFS(Log!$A$2:$A$5000,$A34,Log!$F$2:$F$5000,"*→ "&amp;B$1&amp;"*"))</f>
        <v/>
      </c>
      <c r="C34" s="8">
        <f>IF($A34="","",COUNTIFS(Log!$A$2:$A$5000,$A34,Log!$F$2:$F$5000,"*→ "&amp;C$1&amp;"*"))</f>
        <v/>
      </c>
      <c r="D34" s="8">
        <f>IF($A34="","",COUNTIFS(Log!$A$2:$A$5000,$A34,Log!$F$2:$F$5000,"*→ "&amp;D$1&amp;"*"))</f>
        <v/>
      </c>
      <c r="E34" s="8">
        <f>IF($A34="","",COUNTIFS(Log!$A$2:$A$5000,$A34,Log!$F$2:$F$5000,"*→ "&amp;E$1&amp;"*"))</f>
        <v/>
      </c>
      <c r="F34" s="8">
        <f>IF($A34="","",COUNTIFS(Log!$A$2:$A$5000,$A34,Log!$F$2:$F$5000,"*→ "&amp;F$1&amp;"*"))</f>
        <v/>
      </c>
      <c r="G34" s="8">
        <f>IF($A34="","",COUNTIFS(Log!$A$2:$A$5000,$A34,Log!$F$2:$F$5000,"*→ "&amp;G$1&amp;"*"))</f>
        <v/>
      </c>
      <c r="H34" s="8">
        <f>IF($A34="","",COUNTIFS(Log!$A$2:$A$5000,$A34,Log!$F$2:$F$5000,"*→ "&amp;H$1&amp;"*"))</f>
        <v/>
      </c>
      <c r="I34" s="8">
        <f>IF($A34="","",COUNTIFS(Log!$A$2:$A$5000,$A34,Log!$F$2:$F$5000,"*→ "&amp;I$1&amp;"*"))</f>
        <v/>
      </c>
      <c r="J34" s="8">
        <f>IF($A34="","",COUNTIFS(Log!$A$2:$A$5000,$A34,Log!$F$2:$F$5000,"*→ "&amp;J$1&amp;"*"))</f>
        <v/>
      </c>
      <c r="K34" s="8">
        <f>IF($A34="","",COUNTIFS(Log!$A$2:$A$5000,$A34,Log!$F$2:$F$5000,"*→ "&amp;K$1&amp;"*"))</f>
        <v/>
      </c>
      <c r="L34" s="8">
        <f>IF($A34="","",COUNTIFS(Log!$A$2:$A$5000,$A34,Log!$F$2:$F$5000,"*→ "&amp;L$1&amp;"*"))</f>
        <v/>
      </c>
      <c r="M34" s="8">
        <f>IF($A34="","",COUNTIFS(Log!$A$2:$A$5000,$A34,Log!$F$2:$F$5000,"*→ "&amp;M$1&amp;"*"))</f>
        <v/>
      </c>
      <c r="N34" s="8">
        <f>IF($A34="","",COUNTIFS(Log!$A$2:$A$5000,$A34,Log!$F$2:$F$5000,"*→ "&amp;N$1&amp;"*"))</f>
        <v/>
      </c>
      <c r="O34" s="8">
        <f>IF($A34="","",COUNTIFS(Log!$A$2:$A$5000,$A34,Log!$F$2:$F$5000,"*→ "&amp;O$1&amp;"*"))</f>
        <v/>
      </c>
      <c r="P34" s="8">
        <f>IF($A34="","",COUNTIFS(Log!$A$2:$A$5000,$A34,Log!$F$2:$F$5000,"*→ "&amp;P$1&amp;"*"))</f>
        <v/>
      </c>
      <c r="Q34" s="8">
        <f>IF($A34="","",COUNTIFS(Log!$A$2:$A$5000,$A34,Log!$F$2:$F$5000,"*→ "&amp;Q$1&amp;"*"))</f>
        <v/>
      </c>
      <c r="R34" s="8">
        <f>IF($A34="","",COUNTIFS(Log!$A$2:$A$5000,$A34,Log!$F$2:$F$5000,"*→ "&amp;R$1&amp;"*"))</f>
        <v/>
      </c>
    </row>
    <row r="35">
      <c r="A35" s="8">
        <f>IF(Students!A35="","",Students!A35)</f>
        <v/>
      </c>
      <c r="B35" s="8">
        <f>IF($A35="","",COUNTIFS(Log!$A$2:$A$5000,$A35,Log!$F$2:$F$5000,"*→ "&amp;B$1&amp;"*"))</f>
        <v/>
      </c>
      <c r="C35" s="8">
        <f>IF($A35="","",COUNTIFS(Log!$A$2:$A$5000,$A35,Log!$F$2:$F$5000,"*→ "&amp;C$1&amp;"*"))</f>
        <v/>
      </c>
      <c r="D35" s="8">
        <f>IF($A35="","",COUNTIFS(Log!$A$2:$A$5000,$A35,Log!$F$2:$F$5000,"*→ "&amp;D$1&amp;"*"))</f>
        <v/>
      </c>
      <c r="E35" s="8">
        <f>IF($A35="","",COUNTIFS(Log!$A$2:$A$5000,$A35,Log!$F$2:$F$5000,"*→ "&amp;E$1&amp;"*"))</f>
        <v/>
      </c>
      <c r="F35" s="8">
        <f>IF($A35="","",COUNTIFS(Log!$A$2:$A$5000,$A35,Log!$F$2:$F$5000,"*→ "&amp;F$1&amp;"*"))</f>
        <v/>
      </c>
      <c r="G35" s="8">
        <f>IF($A35="","",COUNTIFS(Log!$A$2:$A$5000,$A35,Log!$F$2:$F$5000,"*→ "&amp;G$1&amp;"*"))</f>
        <v/>
      </c>
      <c r="H35" s="8">
        <f>IF($A35="","",COUNTIFS(Log!$A$2:$A$5000,$A35,Log!$F$2:$F$5000,"*→ "&amp;H$1&amp;"*"))</f>
        <v/>
      </c>
      <c r="I35" s="8">
        <f>IF($A35="","",COUNTIFS(Log!$A$2:$A$5000,$A35,Log!$F$2:$F$5000,"*→ "&amp;I$1&amp;"*"))</f>
        <v/>
      </c>
      <c r="J35" s="8">
        <f>IF($A35="","",COUNTIFS(Log!$A$2:$A$5000,$A35,Log!$F$2:$F$5000,"*→ "&amp;J$1&amp;"*"))</f>
        <v/>
      </c>
      <c r="K35" s="8">
        <f>IF($A35="","",COUNTIFS(Log!$A$2:$A$5000,$A35,Log!$F$2:$F$5000,"*→ "&amp;K$1&amp;"*"))</f>
        <v/>
      </c>
      <c r="L35" s="8">
        <f>IF($A35="","",COUNTIFS(Log!$A$2:$A$5000,$A35,Log!$F$2:$F$5000,"*→ "&amp;L$1&amp;"*"))</f>
        <v/>
      </c>
      <c r="M35" s="8">
        <f>IF($A35="","",COUNTIFS(Log!$A$2:$A$5000,$A35,Log!$F$2:$F$5000,"*→ "&amp;M$1&amp;"*"))</f>
        <v/>
      </c>
      <c r="N35" s="8">
        <f>IF($A35="","",COUNTIFS(Log!$A$2:$A$5000,$A35,Log!$F$2:$F$5000,"*→ "&amp;N$1&amp;"*"))</f>
        <v/>
      </c>
      <c r="O35" s="8">
        <f>IF($A35="","",COUNTIFS(Log!$A$2:$A$5000,$A35,Log!$F$2:$F$5000,"*→ "&amp;O$1&amp;"*"))</f>
        <v/>
      </c>
      <c r="P35" s="8">
        <f>IF($A35="","",COUNTIFS(Log!$A$2:$A$5000,$A35,Log!$F$2:$F$5000,"*→ "&amp;P$1&amp;"*"))</f>
        <v/>
      </c>
      <c r="Q35" s="8">
        <f>IF($A35="","",COUNTIFS(Log!$A$2:$A$5000,$A35,Log!$F$2:$F$5000,"*→ "&amp;Q$1&amp;"*"))</f>
        <v/>
      </c>
      <c r="R35" s="8">
        <f>IF($A35="","",COUNTIFS(Log!$A$2:$A$5000,$A35,Log!$F$2:$F$5000,"*→ "&amp;R$1&amp;"*"))</f>
        <v/>
      </c>
    </row>
    <row r="36">
      <c r="A36" s="8">
        <f>IF(Students!A36="","",Students!A36)</f>
        <v/>
      </c>
      <c r="B36" s="8">
        <f>IF($A36="","",COUNTIFS(Log!$A$2:$A$5000,$A36,Log!$F$2:$F$5000,"*→ "&amp;B$1&amp;"*"))</f>
        <v/>
      </c>
      <c r="C36" s="8">
        <f>IF($A36="","",COUNTIFS(Log!$A$2:$A$5000,$A36,Log!$F$2:$F$5000,"*→ "&amp;C$1&amp;"*"))</f>
        <v/>
      </c>
      <c r="D36" s="8">
        <f>IF($A36="","",COUNTIFS(Log!$A$2:$A$5000,$A36,Log!$F$2:$F$5000,"*→ "&amp;D$1&amp;"*"))</f>
        <v/>
      </c>
      <c r="E36" s="8">
        <f>IF($A36="","",COUNTIFS(Log!$A$2:$A$5000,$A36,Log!$F$2:$F$5000,"*→ "&amp;E$1&amp;"*"))</f>
        <v/>
      </c>
      <c r="F36" s="8">
        <f>IF($A36="","",COUNTIFS(Log!$A$2:$A$5000,$A36,Log!$F$2:$F$5000,"*→ "&amp;F$1&amp;"*"))</f>
        <v/>
      </c>
      <c r="G36" s="8">
        <f>IF($A36="","",COUNTIFS(Log!$A$2:$A$5000,$A36,Log!$F$2:$F$5000,"*→ "&amp;G$1&amp;"*"))</f>
        <v/>
      </c>
      <c r="H36" s="8">
        <f>IF($A36="","",COUNTIFS(Log!$A$2:$A$5000,$A36,Log!$F$2:$F$5000,"*→ "&amp;H$1&amp;"*"))</f>
        <v/>
      </c>
      <c r="I36" s="8">
        <f>IF($A36="","",COUNTIFS(Log!$A$2:$A$5000,$A36,Log!$F$2:$F$5000,"*→ "&amp;I$1&amp;"*"))</f>
        <v/>
      </c>
      <c r="J36" s="8">
        <f>IF($A36="","",COUNTIFS(Log!$A$2:$A$5000,$A36,Log!$F$2:$F$5000,"*→ "&amp;J$1&amp;"*"))</f>
        <v/>
      </c>
      <c r="K36" s="8">
        <f>IF($A36="","",COUNTIFS(Log!$A$2:$A$5000,$A36,Log!$F$2:$F$5000,"*→ "&amp;K$1&amp;"*"))</f>
        <v/>
      </c>
      <c r="L36" s="8">
        <f>IF($A36="","",COUNTIFS(Log!$A$2:$A$5000,$A36,Log!$F$2:$F$5000,"*→ "&amp;L$1&amp;"*"))</f>
        <v/>
      </c>
      <c r="M36" s="8">
        <f>IF($A36="","",COUNTIFS(Log!$A$2:$A$5000,$A36,Log!$F$2:$F$5000,"*→ "&amp;M$1&amp;"*"))</f>
        <v/>
      </c>
      <c r="N36" s="8">
        <f>IF($A36="","",COUNTIFS(Log!$A$2:$A$5000,$A36,Log!$F$2:$F$5000,"*→ "&amp;N$1&amp;"*"))</f>
        <v/>
      </c>
      <c r="O36" s="8">
        <f>IF($A36="","",COUNTIFS(Log!$A$2:$A$5000,$A36,Log!$F$2:$F$5000,"*→ "&amp;O$1&amp;"*"))</f>
        <v/>
      </c>
      <c r="P36" s="8">
        <f>IF($A36="","",COUNTIFS(Log!$A$2:$A$5000,$A36,Log!$F$2:$F$5000,"*→ "&amp;P$1&amp;"*"))</f>
        <v/>
      </c>
      <c r="Q36" s="8">
        <f>IF($A36="","",COUNTIFS(Log!$A$2:$A$5000,$A36,Log!$F$2:$F$5000,"*→ "&amp;Q$1&amp;"*"))</f>
        <v/>
      </c>
      <c r="R36" s="8">
        <f>IF($A36="","",COUNTIFS(Log!$A$2:$A$5000,$A36,Log!$F$2:$F$5000,"*→ "&amp;R$1&amp;"*"))</f>
        <v/>
      </c>
    </row>
    <row r="37">
      <c r="A37" s="8">
        <f>IF(Students!A37="","",Students!A37)</f>
        <v/>
      </c>
      <c r="B37" s="8">
        <f>IF($A37="","",COUNTIFS(Log!$A$2:$A$5000,$A37,Log!$F$2:$F$5000,"*→ "&amp;B$1&amp;"*"))</f>
        <v/>
      </c>
      <c r="C37" s="8">
        <f>IF($A37="","",COUNTIFS(Log!$A$2:$A$5000,$A37,Log!$F$2:$F$5000,"*→ "&amp;C$1&amp;"*"))</f>
        <v/>
      </c>
      <c r="D37" s="8">
        <f>IF($A37="","",COUNTIFS(Log!$A$2:$A$5000,$A37,Log!$F$2:$F$5000,"*→ "&amp;D$1&amp;"*"))</f>
        <v/>
      </c>
      <c r="E37" s="8">
        <f>IF($A37="","",COUNTIFS(Log!$A$2:$A$5000,$A37,Log!$F$2:$F$5000,"*→ "&amp;E$1&amp;"*"))</f>
        <v/>
      </c>
      <c r="F37" s="8">
        <f>IF($A37="","",COUNTIFS(Log!$A$2:$A$5000,$A37,Log!$F$2:$F$5000,"*→ "&amp;F$1&amp;"*"))</f>
        <v/>
      </c>
      <c r="G37" s="8">
        <f>IF($A37="","",COUNTIFS(Log!$A$2:$A$5000,$A37,Log!$F$2:$F$5000,"*→ "&amp;G$1&amp;"*"))</f>
        <v/>
      </c>
      <c r="H37" s="8">
        <f>IF($A37="","",COUNTIFS(Log!$A$2:$A$5000,$A37,Log!$F$2:$F$5000,"*→ "&amp;H$1&amp;"*"))</f>
        <v/>
      </c>
      <c r="I37" s="8">
        <f>IF($A37="","",COUNTIFS(Log!$A$2:$A$5000,$A37,Log!$F$2:$F$5000,"*→ "&amp;I$1&amp;"*"))</f>
        <v/>
      </c>
      <c r="J37" s="8">
        <f>IF($A37="","",COUNTIFS(Log!$A$2:$A$5000,$A37,Log!$F$2:$F$5000,"*→ "&amp;J$1&amp;"*"))</f>
        <v/>
      </c>
      <c r="K37" s="8">
        <f>IF($A37="","",COUNTIFS(Log!$A$2:$A$5000,$A37,Log!$F$2:$F$5000,"*→ "&amp;K$1&amp;"*"))</f>
        <v/>
      </c>
      <c r="L37" s="8">
        <f>IF($A37="","",COUNTIFS(Log!$A$2:$A$5000,$A37,Log!$F$2:$F$5000,"*→ "&amp;L$1&amp;"*"))</f>
        <v/>
      </c>
      <c r="M37" s="8">
        <f>IF($A37="","",COUNTIFS(Log!$A$2:$A$5000,$A37,Log!$F$2:$F$5000,"*→ "&amp;M$1&amp;"*"))</f>
        <v/>
      </c>
      <c r="N37" s="8">
        <f>IF($A37="","",COUNTIFS(Log!$A$2:$A$5000,$A37,Log!$F$2:$F$5000,"*→ "&amp;N$1&amp;"*"))</f>
        <v/>
      </c>
      <c r="O37" s="8">
        <f>IF($A37="","",COUNTIFS(Log!$A$2:$A$5000,$A37,Log!$F$2:$F$5000,"*→ "&amp;O$1&amp;"*"))</f>
        <v/>
      </c>
      <c r="P37" s="8">
        <f>IF($A37="","",COUNTIFS(Log!$A$2:$A$5000,$A37,Log!$F$2:$F$5000,"*→ "&amp;P$1&amp;"*"))</f>
        <v/>
      </c>
      <c r="Q37" s="8">
        <f>IF($A37="","",COUNTIFS(Log!$A$2:$A$5000,$A37,Log!$F$2:$F$5000,"*→ "&amp;Q$1&amp;"*"))</f>
        <v/>
      </c>
      <c r="R37" s="8">
        <f>IF($A37="","",COUNTIFS(Log!$A$2:$A$5000,$A37,Log!$F$2:$F$5000,"*→ "&amp;R$1&amp;"*"))</f>
        <v/>
      </c>
    </row>
    <row r="38">
      <c r="A38" s="8">
        <f>IF(Students!A38="","",Students!A38)</f>
        <v/>
      </c>
      <c r="B38" s="8">
        <f>IF($A38="","",COUNTIFS(Log!$A$2:$A$5000,$A38,Log!$F$2:$F$5000,"*→ "&amp;B$1&amp;"*"))</f>
        <v/>
      </c>
      <c r="C38" s="8">
        <f>IF($A38="","",COUNTIFS(Log!$A$2:$A$5000,$A38,Log!$F$2:$F$5000,"*→ "&amp;C$1&amp;"*"))</f>
        <v/>
      </c>
      <c r="D38" s="8">
        <f>IF($A38="","",COUNTIFS(Log!$A$2:$A$5000,$A38,Log!$F$2:$F$5000,"*→ "&amp;D$1&amp;"*"))</f>
        <v/>
      </c>
      <c r="E38" s="8">
        <f>IF($A38="","",COUNTIFS(Log!$A$2:$A$5000,$A38,Log!$F$2:$F$5000,"*→ "&amp;E$1&amp;"*"))</f>
        <v/>
      </c>
      <c r="F38" s="8">
        <f>IF($A38="","",COUNTIFS(Log!$A$2:$A$5000,$A38,Log!$F$2:$F$5000,"*→ "&amp;F$1&amp;"*"))</f>
        <v/>
      </c>
      <c r="G38" s="8">
        <f>IF($A38="","",COUNTIFS(Log!$A$2:$A$5000,$A38,Log!$F$2:$F$5000,"*→ "&amp;G$1&amp;"*"))</f>
        <v/>
      </c>
      <c r="H38" s="8">
        <f>IF($A38="","",COUNTIFS(Log!$A$2:$A$5000,$A38,Log!$F$2:$F$5000,"*→ "&amp;H$1&amp;"*"))</f>
        <v/>
      </c>
      <c r="I38" s="8">
        <f>IF($A38="","",COUNTIFS(Log!$A$2:$A$5000,$A38,Log!$F$2:$F$5000,"*→ "&amp;I$1&amp;"*"))</f>
        <v/>
      </c>
      <c r="J38" s="8">
        <f>IF($A38="","",COUNTIFS(Log!$A$2:$A$5000,$A38,Log!$F$2:$F$5000,"*→ "&amp;J$1&amp;"*"))</f>
        <v/>
      </c>
      <c r="K38" s="8">
        <f>IF($A38="","",COUNTIFS(Log!$A$2:$A$5000,$A38,Log!$F$2:$F$5000,"*→ "&amp;K$1&amp;"*"))</f>
        <v/>
      </c>
      <c r="L38" s="8">
        <f>IF($A38="","",COUNTIFS(Log!$A$2:$A$5000,$A38,Log!$F$2:$F$5000,"*→ "&amp;L$1&amp;"*"))</f>
        <v/>
      </c>
      <c r="M38" s="8">
        <f>IF($A38="","",COUNTIFS(Log!$A$2:$A$5000,$A38,Log!$F$2:$F$5000,"*→ "&amp;M$1&amp;"*"))</f>
        <v/>
      </c>
      <c r="N38" s="8">
        <f>IF($A38="","",COUNTIFS(Log!$A$2:$A$5000,$A38,Log!$F$2:$F$5000,"*→ "&amp;N$1&amp;"*"))</f>
        <v/>
      </c>
      <c r="O38" s="8">
        <f>IF($A38="","",COUNTIFS(Log!$A$2:$A$5000,$A38,Log!$F$2:$F$5000,"*→ "&amp;O$1&amp;"*"))</f>
        <v/>
      </c>
      <c r="P38" s="8">
        <f>IF($A38="","",COUNTIFS(Log!$A$2:$A$5000,$A38,Log!$F$2:$F$5000,"*→ "&amp;P$1&amp;"*"))</f>
        <v/>
      </c>
      <c r="Q38" s="8">
        <f>IF($A38="","",COUNTIFS(Log!$A$2:$A$5000,$A38,Log!$F$2:$F$5000,"*→ "&amp;Q$1&amp;"*"))</f>
        <v/>
      </c>
      <c r="R38" s="8">
        <f>IF($A38="","",COUNTIFS(Log!$A$2:$A$5000,$A38,Log!$F$2:$F$5000,"*→ "&amp;R$1&amp;"*"))</f>
        <v/>
      </c>
    </row>
    <row r="39">
      <c r="A39" s="8">
        <f>IF(Students!A39="","",Students!A39)</f>
        <v/>
      </c>
      <c r="B39" s="8">
        <f>IF($A39="","",COUNTIFS(Log!$A$2:$A$5000,$A39,Log!$F$2:$F$5000,"*→ "&amp;B$1&amp;"*"))</f>
        <v/>
      </c>
      <c r="C39" s="8">
        <f>IF($A39="","",COUNTIFS(Log!$A$2:$A$5000,$A39,Log!$F$2:$F$5000,"*→ "&amp;C$1&amp;"*"))</f>
        <v/>
      </c>
      <c r="D39" s="8">
        <f>IF($A39="","",COUNTIFS(Log!$A$2:$A$5000,$A39,Log!$F$2:$F$5000,"*→ "&amp;D$1&amp;"*"))</f>
        <v/>
      </c>
      <c r="E39" s="8">
        <f>IF($A39="","",COUNTIFS(Log!$A$2:$A$5000,$A39,Log!$F$2:$F$5000,"*→ "&amp;E$1&amp;"*"))</f>
        <v/>
      </c>
      <c r="F39" s="8">
        <f>IF($A39="","",COUNTIFS(Log!$A$2:$A$5000,$A39,Log!$F$2:$F$5000,"*→ "&amp;F$1&amp;"*"))</f>
        <v/>
      </c>
      <c r="G39" s="8">
        <f>IF($A39="","",COUNTIFS(Log!$A$2:$A$5000,$A39,Log!$F$2:$F$5000,"*→ "&amp;G$1&amp;"*"))</f>
        <v/>
      </c>
      <c r="H39" s="8">
        <f>IF($A39="","",COUNTIFS(Log!$A$2:$A$5000,$A39,Log!$F$2:$F$5000,"*→ "&amp;H$1&amp;"*"))</f>
        <v/>
      </c>
      <c r="I39" s="8">
        <f>IF($A39="","",COUNTIFS(Log!$A$2:$A$5000,$A39,Log!$F$2:$F$5000,"*→ "&amp;I$1&amp;"*"))</f>
        <v/>
      </c>
      <c r="J39" s="8">
        <f>IF($A39="","",COUNTIFS(Log!$A$2:$A$5000,$A39,Log!$F$2:$F$5000,"*→ "&amp;J$1&amp;"*"))</f>
        <v/>
      </c>
      <c r="K39" s="8">
        <f>IF($A39="","",COUNTIFS(Log!$A$2:$A$5000,$A39,Log!$F$2:$F$5000,"*→ "&amp;K$1&amp;"*"))</f>
        <v/>
      </c>
      <c r="L39" s="8">
        <f>IF($A39="","",COUNTIFS(Log!$A$2:$A$5000,$A39,Log!$F$2:$F$5000,"*→ "&amp;L$1&amp;"*"))</f>
        <v/>
      </c>
      <c r="M39" s="8">
        <f>IF($A39="","",COUNTIFS(Log!$A$2:$A$5000,$A39,Log!$F$2:$F$5000,"*→ "&amp;M$1&amp;"*"))</f>
        <v/>
      </c>
      <c r="N39" s="8">
        <f>IF($A39="","",COUNTIFS(Log!$A$2:$A$5000,$A39,Log!$F$2:$F$5000,"*→ "&amp;N$1&amp;"*"))</f>
        <v/>
      </c>
      <c r="O39" s="8">
        <f>IF($A39="","",COUNTIFS(Log!$A$2:$A$5000,$A39,Log!$F$2:$F$5000,"*→ "&amp;O$1&amp;"*"))</f>
        <v/>
      </c>
      <c r="P39" s="8">
        <f>IF($A39="","",COUNTIFS(Log!$A$2:$A$5000,$A39,Log!$F$2:$F$5000,"*→ "&amp;P$1&amp;"*"))</f>
        <v/>
      </c>
      <c r="Q39" s="8">
        <f>IF($A39="","",COUNTIFS(Log!$A$2:$A$5000,$A39,Log!$F$2:$F$5000,"*→ "&amp;Q$1&amp;"*"))</f>
        <v/>
      </c>
      <c r="R39" s="8">
        <f>IF($A39="","",COUNTIFS(Log!$A$2:$A$5000,$A39,Log!$F$2:$F$5000,"*→ "&amp;R$1&amp;"*"))</f>
        <v/>
      </c>
    </row>
    <row r="40">
      <c r="A40" s="8">
        <f>IF(Students!A40="","",Students!A40)</f>
        <v/>
      </c>
      <c r="B40" s="8">
        <f>IF($A40="","",COUNTIFS(Log!$A$2:$A$5000,$A40,Log!$F$2:$F$5000,"*→ "&amp;B$1&amp;"*"))</f>
        <v/>
      </c>
      <c r="C40" s="8">
        <f>IF($A40="","",COUNTIFS(Log!$A$2:$A$5000,$A40,Log!$F$2:$F$5000,"*→ "&amp;C$1&amp;"*"))</f>
        <v/>
      </c>
      <c r="D40" s="8">
        <f>IF($A40="","",COUNTIFS(Log!$A$2:$A$5000,$A40,Log!$F$2:$F$5000,"*→ "&amp;D$1&amp;"*"))</f>
        <v/>
      </c>
      <c r="E40" s="8">
        <f>IF($A40="","",COUNTIFS(Log!$A$2:$A$5000,$A40,Log!$F$2:$F$5000,"*→ "&amp;E$1&amp;"*"))</f>
        <v/>
      </c>
      <c r="F40" s="8">
        <f>IF($A40="","",COUNTIFS(Log!$A$2:$A$5000,$A40,Log!$F$2:$F$5000,"*→ "&amp;F$1&amp;"*"))</f>
        <v/>
      </c>
      <c r="G40" s="8">
        <f>IF($A40="","",COUNTIFS(Log!$A$2:$A$5000,$A40,Log!$F$2:$F$5000,"*→ "&amp;G$1&amp;"*"))</f>
        <v/>
      </c>
      <c r="H40" s="8">
        <f>IF($A40="","",COUNTIFS(Log!$A$2:$A$5000,$A40,Log!$F$2:$F$5000,"*→ "&amp;H$1&amp;"*"))</f>
        <v/>
      </c>
      <c r="I40" s="8">
        <f>IF($A40="","",COUNTIFS(Log!$A$2:$A$5000,$A40,Log!$F$2:$F$5000,"*→ "&amp;I$1&amp;"*"))</f>
        <v/>
      </c>
      <c r="J40" s="8">
        <f>IF($A40="","",COUNTIFS(Log!$A$2:$A$5000,$A40,Log!$F$2:$F$5000,"*→ "&amp;J$1&amp;"*"))</f>
        <v/>
      </c>
      <c r="K40" s="8">
        <f>IF($A40="","",COUNTIFS(Log!$A$2:$A$5000,$A40,Log!$F$2:$F$5000,"*→ "&amp;K$1&amp;"*"))</f>
        <v/>
      </c>
      <c r="L40" s="8">
        <f>IF($A40="","",COUNTIFS(Log!$A$2:$A$5000,$A40,Log!$F$2:$F$5000,"*→ "&amp;L$1&amp;"*"))</f>
        <v/>
      </c>
      <c r="M40" s="8">
        <f>IF($A40="","",COUNTIFS(Log!$A$2:$A$5000,$A40,Log!$F$2:$F$5000,"*→ "&amp;M$1&amp;"*"))</f>
        <v/>
      </c>
      <c r="N40" s="8">
        <f>IF($A40="","",COUNTIFS(Log!$A$2:$A$5000,$A40,Log!$F$2:$F$5000,"*→ "&amp;N$1&amp;"*"))</f>
        <v/>
      </c>
      <c r="O40" s="8">
        <f>IF($A40="","",COUNTIFS(Log!$A$2:$A$5000,$A40,Log!$F$2:$F$5000,"*→ "&amp;O$1&amp;"*"))</f>
        <v/>
      </c>
      <c r="P40" s="8">
        <f>IF($A40="","",COUNTIFS(Log!$A$2:$A$5000,$A40,Log!$F$2:$F$5000,"*→ "&amp;P$1&amp;"*"))</f>
        <v/>
      </c>
      <c r="Q40" s="8">
        <f>IF($A40="","",COUNTIFS(Log!$A$2:$A$5000,$A40,Log!$F$2:$F$5000,"*→ "&amp;Q$1&amp;"*"))</f>
        <v/>
      </c>
      <c r="R40" s="8">
        <f>IF($A40="","",COUNTIFS(Log!$A$2:$A$5000,$A40,Log!$F$2:$F$5000,"*→ "&amp;R$1&amp;"*"))</f>
        <v/>
      </c>
    </row>
    <row r="41">
      <c r="A41" s="8">
        <f>IF(Students!A41="","",Students!A41)</f>
        <v/>
      </c>
      <c r="B41" s="8">
        <f>IF($A41="","",COUNTIFS(Log!$A$2:$A$5000,$A41,Log!$F$2:$F$5000,"*→ "&amp;B$1&amp;"*"))</f>
        <v/>
      </c>
      <c r="C41" s="8">
        <f>IF($A41="","",COUNTIFS(Log!$A$2:$A$5000,$A41,Log!$F$2:$F$5000,"*→ "&amp;C$1&amp;"*"))</f>
        <v/>
      </c>
      <c r="D41" s="8">
        <f>IF($A41="","",COUNTIFS(Log!$A$2:$A$5000,$A41,Log!$F$2:$F$5000,"*→ "&amp;D$1&amp;"*"))</f>
        <v/>
      </c>
      <c r="E41" s="8">
        <f>IF($A41="","",COUNTIFS(Log!$A$2:$A$5000,$A41,Log!$F$2:$F$5000,"*→ "&amp;E$1&amp;"*"))</f>
        <v/>
      </c>
      <c r="F41" s="8">
        <f>IF($A41="","",COUNTIFS(Log!$A$2:$A$5000,$A41,Log!$F$2:$F$5000,"*→ "&amp;F$1&amp;"*"))</f>
        <v/>
      </c>
      <c r="G41" s="8">
        <f>IF($A41="","",COUNTIFS(Log!$A$2:$A$5000,$A41,Log!$F$2:$F$5000,"*→ "&amp;G$1&amp;"*"))</f>
        <v/>
      </c>
      <c r="H41" s="8">
        <f>IF($A41="","",COUNTIFS(Log!$A$2:$A$5000,$A41,Log!$F$2:$F$5000,"*→ "&amp;H$1&amp;"*"))</f>
        <v/>
      </c>
      <c r="I41" s="8">
        <f>IF($A41="","",COUNTIFS(Log!$A$2:$A$5000,$A41,Log!$F$2:$F$5000,"*→ "&amp;I$1&amp;"*"))</f>
        <v/>
      </c>
      <c r="J41" s="8">
        <f>IF($A41="","",COUNTIFS(Log!$A$2:$A$5000,$A41,Log!$F$2:$F$5000,"*→ "&amp;J$1&amp;"*"))</f>
        <v/>
      </c>
      <c r="K41" s="8">
        <f>IF($A41="","",COUNTIFS(Log!$A$2:$A$5000,$A41,Log!$F$2:$F$5000,"*→ "&amp;K$1&amp;"*"))</f>
        <v/>
      </c>
      <c r="L41" s="8">
        <f>IF($A41="","",COUNTIFS(Log!$A$2:$A$5000,$A41,Log!$F$2:$F$5000,"*→ "&amp;L$1&amp;"*"))</f>
        <v/>
      </c>
      <c r="M41" s="8">
        <f>IF($A41="","",COUNTIFS(Log!$A$2:$A$5000,$A41,Log!$F$2:$F$5000,"*→ "&amp;M$1&amp;"*"))</f>
        <v/>
      </c>
      <c r="N41" s="8">
        <f>IF($A41="","",COUNTIFS(Log!$A$2:$A$5000,$A41,Log!$F$2:$F$5000,"*→ "&amp;N$1&amp;"*"))</f>
        <v/>
      </c>
      <c r="O41" s="8">
        <f>IF($A41="","",COUNTIFS(Log!$A$2:$A$5000,$A41,Log!$F$2:$F$5000,"*→ "&amp;O$1&amp;"*"))</f>
        <v/>
      </c>
      <c r="P41" s="8">
        <f>IF($A41="","",COUNTIFS(Log!$A$2:$A$5000,$A41,Log!$F$2:$F$5000,"*→ "&amp;P$1&amp;"*"))</f>
        <v/>
      </c>
      <c r="Q41" s="8">
        <f>IF($A41="","",COUNTIFS(Log!$A$2:$A$5000,$A41,Log!$F$2:$F$5000,"*→ "&amp;Q$1&amp;"*"))</f>
        <v/>
      </c>
      <c r="R41" s="8">
        <f>IF($A41="","",COUNTIFS(Log!$A$2:$A$5000,$A41,Log!$F$2:$F$5000,"*→ "&amp;R$1&amp;"*"))</f>
        <v/>
      </c>
    </row>
    <row r="42">
      <c r="A42" s="8">
        <f>IF(Students!A42="","",Students!A42)</f>
        <v/>
      </c>
      <c r="B42" s="8">
        <f>IF($A42="","",COUNTIFS(Log!$A$2:$A$5000,$A42,Log!$F$2:$F$5000,"*→ "&amp;B$1&amp;"*"))</f>
        <v/>
      </c>
      <c r="C42" s="8">
        <f>IF($A42="","",COUNTIFS(Log!$A$2:$A$5000,$A42,Log!$F$2:$F$5000,"*→ "&amp;C$1&amp;"*"))</f>
        <v/>
      </c>
      <c r="D42" s="8">
        <f>IF($A42="","",COUNTIFS(Log!$A$2:$A$5000,$A42,Log!$F$2:$F$5000,"*→ "&amp;D$1&amp;"*"))</f>
        <v/>
      </c>
      <c r="E42" s="8">
        <f>IF($A42="","",COUNTIFS(Log!$A$2:$A$5000,$A42,Log!$F$2:$F$5000,"*→ "&amp;E$1&amp;"*"))</f>
        <v/>
      </c>
      <c r="F42" s="8">
        <f>IF($A42="","",COUNTIFS(Log!$A$2:$A$5000,$A42,Log!$F$2:$F$5000,"*→ "&amp;F$1&amp;"*"))</f>
        <v/>
      </c>
      <c r="G42" s="8">
        <f>IF($A42="","",COUNTIFS(Log!$A$2:$A$5000,$A42,Log!$F$2:$F$5000,"*→ "&amp;G$1&amp;"*"))</f>
        <v/>
      </c>
      <c r="H42" s="8">
        <f>IF($A42="","",COUNTIFS(Log!$A$2:$A$5000,$A42,Log!$F$2:$F$5000,"*→ "&amp;H$1&amp;"*"))</f>
        <v/>
      </c>
      <c r="I42" s="8">
        <f>IF($A42="","",COUNTIFS(Log!$A$2:$A$5000,$A42,Log!$F$2:$F$5000,"*→ "&amp;I$1&amp;"*"))</f>
        <v/>
      </c>
      <c r="J42" s="8">
        <f>IF($A42="","",COUNTIFS(Log!$A$2:$A$5000,$A42,Log!$F$2:$F$5000,"*→ "&amp;J$1&amp;"*"))</f>
        <v/>
      </c>
      <c r="K42" s="8">
        <f>IF($A42="","",COUNTIFS(Log!$A$2:$A$5000,$A42,Log!$F$2:$F$5000,"*→ "&amp;K$1&amp;"*"))</f>
        <v/>
      </c>
      <c r="L42" s="8">
        <f>IF($A42="","",COUNTIFS(Log!$A$2:$A$5000,$A42,Log!$F$2:$F$5000,"*→ "&amp;L$1&amp;"*"))</f>
        <v/>
      </c>
      <c r="M42" s="8">
        <f>IF($A42="","",COUNTIFS(Log!$A$2:$A$5000,$A42,Log!$F$2:$F$5000,"*→ "&amp;M$1&amp;"*"))</f>
        <v/>
      </c>
      <c r="N42" s="8">
        <f>IF($A42="","",COUNTIFS(Log!$A$2:$A$5000,$A42,Log!$F$2:$F$5000,"*→ "&amp;N$1&amp;"*"))</f>
        <v/>
      </c>
      <c r="O42" s="8">
        <f>IF($A42="","",COUNTIFS(Log!$A$2:$A$5000,$A42,Log!$F$2:$F$5000,"*→ "&amp;O$1&amp;"*"))</f>
        <v/>
      </c>
      <c r="P42" s="8">
        <f>IF($A42="","",COUNTIFS(Log!$A$2:$A$5000,$A42,Log!$F$2:$F$5000,"*→ "&amp;P$1&amp;"*"))</f>
        <v/>
      </c>
      <c r="Q42" s="8">
        <f>IF($A42="","",COUNTIFS(Log!$A$2:$A$5000,$A42,Log!$F$2:$F$5000,"*→ "&amp;Q$1&amp;"*"))</f>
        <v/>
      </c>
      <c r="R42" s="8">
        <f>IF($A42="","",COUNTIFS(Log!$A$2:$A$5000,$A42,Log!$F$2:$F$5000,"*→ "&amp;R$1&amp;"*"))</f>
        <v/>
      </c>
    </row>
    <row r="43">
      <c r="A43" s="8">
        <f>IF(Students!A43="","",Students!A43)</f>
        <v/>
      </c>
      <c r="B43" s="8">
        <f>IF($A43="","",COUNTIFS(Log!$A$2:$A$5000,$A43,Log!$F$2:$F$5000,"*→ "&amp;B$1&amp;"*"))</f>
        <v/>
      </c>
      <c r="C43" s="8">
        <f>IF($A43="","",COUNTIFS(Log!$A$2:$A$5000,$A43,Log!$F$2:$F$5000,"*→ "&amp;C$1&amp;"*"))</f>
        <v/>
      </c>
      <c r="D43" s="8">
        <f>IF($A43="","",COUNTIFS(Log!$A$2:$A$5000,$A43,Log!$F$2:$F$5000,"*→ "&amp;D$1&amp;"*"))</f>
        <v/>
      </c>
      <c r="E43" s="8">
        <f>IF($A43="","",COUNTIFS(Log!$A$2:$A$5000,$A43,Log!$F$2:$F$5000,"*→ "&amp;E$1&amp;"*"))</f>
        <v/>
      </c>
      <c r="F43" s="8">
        <f>IF($A43="","",COUNTIFS(Log!$A$2:$A$5000,$A43,Log!$F$2:$F$5000,"*→ "&amp;F$1&amp;"*"))</f>
        <v/>
      </c>
      <c r="G43" s="8">
        <f>IF($A43="","",COUNTIFS(Log!$A$2:$A$5000,$A43,Log!$F$2:$F$5000,"*→ "&amp;G$1&amp;"*"))</f>
        <v/>
      </c>
      <c r="H43" s="8">
        <f>IF($A43="","",COUNTIFS(Log!$A$2:$A$5000,$A43,Log!$F$2:$F$5000,"*→ "&amp;H$1&amp;"*"))</f>
        <v/>
      </c>
      <c r="I43" s="8">
        <f>IF($A43="","",COUNTIFS(Log!$A$2:$A$5000,$A43,Log!$F$2:$F$5000,"*→ "&amp;I$1&amp;"*"))</f>
        <v/>
      </c>
      <c r="J43" s="8">
        <f>IF($A43="","",COUNTIFS(Log!$A$2:$A$5000,$A43,Log!$F$2:$F$5000,"*→ "&amp;J$1&amp;"*"))</f>
        <v/>
      </c>
      <c r="K43" s="8">
        <f>IF($A43="","",COUNTIFS(Log!$A$2:$A$5000,$A43,Log!$F$2:$F$5000,"*→ "&amp;K$1&amp;"*"))</f>
        <v/>
      </c>
      <c r="L43" s="8">
        <f>IF($A43="","",COUNTIFS(Log!$A$2:$A$5000,$A43,Log!$F$2:$F$5000,"*→ "&amp;L$1&amp;"*"))</f>
        <v/>
      </c>
      <c r="M43" s="8">
        <f>IF($A43="","",COUNTIFS(Log!$A$2:$A$5000,$A43,Log!$F$2:$F$5000,"*→ "&amp;M$1&amp;"*"))</f>
        <v/>
      </c>
      <c r="N43" s="8">
        <f>IF($A43="","",COUNTIFS(Log!$A$2:$A$5000,$A43,Log!$F$2:$F$5000,"*→ "&amp;N$1&amp;"*"))</f>
        <v/>
      </c>
      <c r="O43" s="8">
        <f>IF($A43="","",COUNTIFS(Log!$A$2:$A$5000,$A43,Log!$F$2:$F$5000,"*→ "&amp;O$1&amp;"*"))</f>
        <v/>
      </c>
      <c r="P43" s="8">
        <f>IF($A43="","",COUNTIFS(Log!$A$2:$A$5000,$A43,Log!$F$2:$F$5000,"*→ "&amp;P$1&amp;"*"))</f>
        <v/>
      </c>
      <c r="Q43" s="8">
        <f>IF($A43="","",COUNTIFS(Log!$A$2:$A$5000,$A43,Log!$F$2:$F$5000,"*→ "&amp;Q$1&amp;"*"))</f>
        <v/>
      </c>
      <c r="R43" s="8">
        <f>IF($A43="","",COUNTIFS(Log!$A$2:$A$5000,$A43,Log!$F$2:$F$5000,"*→ "&amp;R$1&amp;"*"))</f>
        <v/>
      </c>
    </row>
    <row r="44">
      <c r="A44" s="8">
        <f>IF(Students!A44="","",Students!A44)</f>
        <v/>
      </c>
      <c r="B44" s="8">
        <f>IF($A44="","",COUNTIFS(Log!$A$2:$A$5000,$A44,Log!$F$2:$F$5000,"*→ "&amp;B$1&amp;"*"))</f>
        <v/>
      </c>
      <c r="C44" s="8">
        <f>IF($A44="","",COUNTIFS(Log!$A$2:$A$5000,$A44,Log!$F$2:$F$5000,"*→ "&amp;C$1&amp;"*"))</f>
        <v/>
      </c>
      <c r="D44" s="8">
        <f>IF($A44="","",COUNTIFS(Log!$A$2:$A$5000,$A44,Log!$F$2:$F$5000,"*→ "&amp;D$1&amp;"*"))</f>
        <v/>
      </c>
      <c r="E44" s="8">
        <f>IF($A44="","",COUNTIFS(Log!$A$2:$A$5000,$A44,Log!$F$2:$F$5000,"*→ "&amp;E$1&amp;"*"))</f>
        <v/>
      </c>
      <c r="F44" s="8">
        <f>IF($A44="","",COUNTIFS(Log!$A$2:$A$5000,$A44,Log!$F$2:$F$5000,"*→ "&amp;F$1&amp;"*"))</f>
        <v/>
      </c>
      <c r="G44" s="8">
        <f>IF($A44="","",COUNTIFS(Log!$A$2:$A$5000,$A44,Log!$F$2:$F$5000,"*→ "&amp;G$1&amp;"*"))</f>
        <v/>
      </c>
      <c r="H44" s="8">
        <f>IF($A44="","",COUNTIFS(Log!$A$2:$A$5000,$A44,Log!$F$2:$F$5000,"*→ "&amp;H$1&amp;"*"))</f>
        <v/>
      </c>
      <c r="I44" s="8">
        <f>IF($A44="","",COUNTIFS(Log!$A$2:$A$5000,$A44,Log!$F$2:$F$5000,"*→ "&amp;I$1&amp;"*"))</f>
        <v/>
      </c>
      <c r="J44" s="8">
        <f>IF($A44="","",COUNTIFS(Log!$A$2:$A$5000,$A44,Log!$F$2:$F$5000,"*→ "&amp;J$1&amp;"*"))</f>
        <v/>
      </c>
      <c r="K44" s="8">
        <f>IF($A44="","",COUNTIFS(Log!$A$2:$A$5000,$A44,Log!$F$2:$F$5000,"*→ "&amp;K$1&amp;"*"))</f>
        <v/>
      </c>
      <c r="L44" s="8">
        <f>IF($A44="","",COUNTIFS(Log!$A$2:$A$5000,$A44,Log!$F$2:$F$5000,"*→ "&amp;L$1&amp;"*"))</f>
        <v/>
      </c>
      <c r="M44" s="8">
        <f>IF($A44="","",COUNTIFS(Log!$A$2:$A$5000,$A44,Log!$F$2:$F$5000,"*→ "&amp;M$1&amp;"*"))</f>
        <v/>
      </c>
      <c r="N44" s="8">
        <f>IF($A44="","",COUNTIFS(Log!$A$2:$A$5000,$A44,Log!$F$2:$F$5000,"*→ "&amp;N$1&amp;"*"))</f>
        <v/>
      </c>
      <c r="O44" s="8">
        <f>IF($A44="","",COUNTIFS(Log!$A$2:$A$5000,$A44,Log!$F$2:$F$5000,"*→ "&amp;O$1&amp;"*"))</f>
        <v/>
      </c>
      <c r="P44" s="8">
        <f>IF($A44="","",COUNTIFS(Log!$A$2:$A$5000,$A44,Log!$F$2:$F$5000,"*→ "&amp;P$1&amp;"*"))</f>
        <v/>
      </c>
      <c r="Q44" s="8">
        <f>IF($A44="","",COUNTIFS(Log!$A$2:$A$5000,$A44,Log!$F$2:$F$5000,"*→ "&amp;Q$1&amp;"*"))</f>
        <v/>
      </c>
      <c r="R44" s="8">
        <f>IF($A44="","",COUNTIFS(Log!$A$2:$A$5000,$A44,Log!$F$2:$F$5000,"*→ "&amp;R$1&amp;"*"))</f>
        <v/>
      </c>
    </row>
    <row r="45">
      <c r="A45" s="8">
        <f>IF(Students!A45="","",Students!A45)</f>
        <v/>
      </c>
      <c r="B45" s="8">
        <f>IF($A45="","",COUNTIFS(Log!$A$2:$A$5000,$A45,Log!$F$2:$F$5000,"*→ "&amp;B$1&amp;"*"))</f>
        <v/>
      </c>
      <c r="C45" s="8">
        <f>IF($A45="","",COUNTIFS(Log!$A$2:$A$5000,$A45,Log!$F$2:$F$5000,"*→ "&amp;C$1&amp;"*"))</f>
        <v/>
      </c>
      <c r="D45" s="8">
        <f>IF($A45="","",COUNTIFS(Log!$A$2:$A$5000,$A45,Log!$F$2:$F$5000,"*→ "&amp;D$1&amp;"*"))</f>
        <v/>
      </c>
      <c r="E45" s="8">
        <f>IF($A45="","",COUNTIFS(Log!$A$2:$A$5000,$A45,Log!$F$2:$F$5000,"*→ "&amp;E$1&amp;"*"))</f>
        <v/>
      </c>
      <c r="F45" s="8">
        <f>IF($A45="","",COUNTIFS(Log!$A$2:$A$5000,$A45,Log!$F$2:$F$5000,"*→ "&amp;F$1&amp;"*"))</f>
        <v/>
      </c>
      <c r="G45" s="8">
        <f>IF($A45="","",COUNTIFS(Log!$A$2:$A$5000,$A45,Log!$F$2:$F$5000,"*→ "&amp;G$1&amp;"*"))</f>
        <v/>
      </c>
      <c r="H45" s="8">
        <f>IF($A45="","",COUNTIFS(Log!$A$2:$A$5000,$A45,Log!$F$2:$F$5000,"*→ "&amp;H$1&amp;"*"))</f>
        <v/>
      </c>
      <c r="I45" s="8">
        <f>IF($A45="","",COUNTIFS(Log!$A$2:$A$5000,$A45,Log!$F$2:$F$5000,"*→ "&amp;I$1&amp;"*"))</f>
        <v/>
      </c>
      <c r="J45" s="8">
        <f>IF($A45="","",COUNTIFS(Log!$A$2:$A$5000,$A45,Log!$F$2:$F$5000,"*→ "&amp;J$1&amp;"*"))</f>
        <v/>
      </c>
      <c r="K45" s="8">
        <f>IF($A45="","",COUNTIFS(Log!$A$2:$A$5000,$A45,Log!$F$2:$F$5000,"*→ "&amp;K$1&amp;"*"))</f>
        <v/>
      </c>
      <c r="L45" s="8">
        <f>IF($A45="","",COUNTIFS(Log!$A$2:$A$5000,$A45,Log!$F$2:$F$5000,"*→ "&amp;L$1&amp;"*"))</f>
        <v/>
      </c>
      <c r="M45" s="8">
        <f>IF($A45="","",COUNTIFS(Log!$A$2:$A$5000,$A45,Log!$F$2:$F$5000,"*→ "&amp;M$1&amp;"*"))</f>
        <v/>
      </c>
      <c r="N45" s="8">
        <f>IF($A45="","",COUNTIFS(Log!$A$2:$A$5000,$A45,Log!$F$2:$F$5000,"*→ "&amp;N$1&amp;"*"))</f>
        <v/>
      </c>
      <c r="O45" s="8">
        <f>IF($A45="","",COUNTIFS(Log!$A$2:$A$5000,$A45,Log!$F$2:$F$5000,"*→ "&amp;O$1&amp;"*"))</f>
        <v/>
      </c>
      <c r="P45" s="8">
        <f>IF($A45="","",COUNTIFS(Log!$A$2:$A$5000,$A45,Log!$F$2:$F$5000,"*→ "&amp;P$1&amp;"*"))</f>
        <v/>
      </c>
      <c r="Q45" s="8">
        <f>IF($A45="","",COUNTIFS(Log!$A$2:$A$5000,$A45,Log!$F$2:$F$5000,"*→ "&amp;Q$1&amp;"*"))</f>
        <v/>
      </c>
      <c r="R45" s="8">
        <f>IF($A45="","",COUNTIFS(Log!$A$2:$A$5000,$A45,Log!$F$2:$F$5000,"*→ "&amp;R$1&amp;"*"))</f>
        <v/>
      </c>
    </row>
    <row r="46">
      <c r="A46" s="8">
        <f>IF(Students!A46="","",Students!A46)</f>
        <v/>
      </c>
      <c r="B46" s="8">
        <f>IF($A46="","",COUNTIFS(Log!$A$2:$A$5000,$A46,Log!$F$2:$F$5000,"*→ "&amp;B$1&amp;"*"))</f>
        <v/>
      </c>
      <c r="C46" s="8">
        <f>IF($A46="","",COUNTIFS(Log!$A$2:$A$5000,$A46,Log!$F$2:$F$5000,"*→ "&amp;C$1&amp;"*"))</f>
        <v/>
      </c>
      <c r="D46" s="8">
        <f>IF($A46="","",COUNTIFS(Log!$A$2:$A$5000,$A46,Log!$F$2:$F$5000,"*→ "&amp;D$1&amp;"*"))</f>
        <v/>
      </c>
      <c r="E46" s="8">
        <f>IF($A46="","",COUNTIFS(Log!$A$2:$A$5000,$A46,Log!$F$2:$F$5000,"*→ "&amp;E$1&amp;"*"))</f>
        <v/>
      </c>
      <c r="F46" s="8">
        <f>IF($A46="","",COUNTIFS(Log!$A$2:$A$5000,$A46,Log!$F$2:$F$5000,"*→ "&amp;F$1&amp;"*"))</f>
        <v/>
      </c>
      <c r="G46" s="8">
        <f>IF($A46="","",COUNTIFS(Log!$A$2:$A$5000,$A46,Log!$F$2:$F$5000,"*→ "&amp;G$1&amp;"*"))</f>
        <v/>
      </c>
      <c r="H46" s="8">
        <f>IF($A46="","",COUNTIFS(Log!$A$2:$A$5000,$A46,Log!$F$2:$F$5000,"*→ "&amp;H$1&amp;"*"))</f>
        <v/>
      </c>
      <c r="I46" s="8">
        <f>IF($A46="","",COUNTIFS(Log!$A$2:$A$5000,$A46,Log!$F$2:$F$5000,"*→ "&amp;I$1&amp;"*"))</f>
        <v/>
      </c>
      <c r="J46" s="8">
        <f>IF($A46="","",COUNTIFS(Log!$A$2:$A$5000,$A46,Log!$F$2:$F$5000,"*→ "&amp;J$1&amp;"*"))</f>
        <v/>
      </c>
      <c r="K46" s="8">
        <f>IF($A46="","",COUNTIFS(Log!$A$2:$A$5000,$A46,Log!$F$2:$F$5000,"*→ "&amp;K$1&amp;"*"))</f>
        <v/>
      </c>
      <c r="L46" s="8">
        <f>IF($A46="","",COUNTIFS(Log!$A$2:$A$5000,$A46,Log!$F$2:$F$5000,"*→ "&amp;L$1&amp;"*"))</f>
        <v/>
      </c>
      <c r="M46" s="8">
        <f>IF($A46="","",COUNTIFS(Log!$A$2:$A$5000,$A46,Log!$F$2:$F$5000,"*→ "&amp;M$1&amp;"*"))</f>
        <v/>
      </c>
      <c r="N46" s="8">
        <f>IF($A46="","",COUNTIFS(Log!$A$2:$A$5000,$A46,Log!$F$2:$F$5000,"*→ "&amp;N$1&amp;"*"))</f>
        <v/>
      </c>
      <c r="O46" s="8">
        <f>IF($A46="","",COUNTIFS(Log!$A$2:$A$5000,$A46,Log!$F$2:$F$5000,"*→ "&amp;O$1&amp;"*"))</f>
        <v/>
      </c>
      <c r="P46" s="8">
        <f>IF($A46="","",COUNTIFS(Log!$A$2:$A$5000,$A46,Log!$F$2:$F$5000,"*→ "&amp;P$1&amp;"*"))</f>
        <v/>
      </c>
      <c r="Q46" s="8">
        <f>IF($A46="","",COUNTIFS(Log!$A$2:$A$5000,$A46,Log!$F$2:$F$5000,"*→ "&amp;Q$1&amp;"*"))</f>
        <v/>
      </c>
      <c r="R46" s="8">
        <f>IF($A46="","",COUNTIFS(Log!$A$2:$A$5000,$A46,Log!$F$2:$F$5000,"*→ "&amp;R$1&amp;"*"))</f>
        <v/>
      </c>
    </row>
    <row r="47">
      <c r="A47" s="8">
        <f>IF(Students!A47="","",Students!A47)</f>
        <v/>
      </c>
      <c r="B47" s="8">
        <f>IF($A47="","",COUNTIFS(Log!$A$2:$A$5000,$A47,Log!$F$2:$F$5000,"*→ "&amp;B$1&amp;"*"))</f>
        <v/>
      </c>
      <c r="C47" s="8">
        <f>IF($A47="","",COUNTIFS(Log!$A$2:$A$5000,$A47,Log!$F$2:$F$5000,"*→ "&amp;C$1&amp;"*"))</f>
        <v/>
      </c>
      <c r="D47" s="8">
        <f>IF($A47="","",COUNTIFS(Log!$A$2:$A$5000,$A47,Log!$F$2:$F$5000,"*→ "&amp;D$1&amp;"*"))</f>
        <v/>
      </c>
      <c r="E47" s="8">
        <f>IF($A47="","",COUNTIFS(Log!$A$2:$A$5000,$A47,Log!$F$2:$F$5000,"*→ "&amp;E$1&amp;"*"))</f>
        <v/>
      </c>
      <c r="F47" s="8">
        <f>IF($A47="","",COUNTIFS(Log!$A$2:$A$5000,$A47,Log!$F$2:$F$5000,"*→ "&amp;F$1&amp;"*"))</f>
        <v/>
      </c>
      <c r="G47" s="8">
        <f>IF($A47="","",COUNTIFS(Log!$A$2:$A$5000,$A47,Log!$F$2:$F$5000,"*→ "&amp;G$1&amp;"*"))</f>
        <v/>
      </c>
      <c r="H47" s="8">
        <f>IF($A47="","",COUNTIFS(Log!$A$2:$A$5000,$A47,Log!$F$2:$F$5000,"*→ "&amp;H$1&amp;"*"))</f>
        <v/>
      </c>
      <c r="I47" s="8">
        <f>IF($A47="","",COUNTIFS(Log!$A$2:$A$5000,$A47,Log!$F$2:$F$5000,"*→ "&amp;I$1&amp;"*"))</f>
        <v/>
      </c>
      <c r="J47" s="8">
        <f>IF($A47="","",COUNTIFS(Log!$A$2:$A$5000,$A47,Log!$F$2:$F$5000,"*→ "&amp;J$1&amp;"*"))</f>
        <v/>
      </c>
      <c r="K47" s="8">
        <f>IF($A47="","",COUNTIFS(Log!$A$2:$A$5000,$A47,Log!$F$2:$F$5000,"*→ "&amp;K$1&amp;"*"))</f>
        <v/>
      </c>
      <c r="L47" s="8">
        <f>IF($A47="","",COUNTIFS(Log!$A$2:$A$5000,$A47,Log!$F$2:$F$5000,"*→ "&amp;L$1&amp;"*"))</f>
        <v/>
      </c>
      <c r="M47" s="8">
        <f>IF($A47="","",COUNTIFS(Log!$A$2:$A$5000,$A47,Log!$F$2:$F$5000,"*→ "&amp;M$1&amp;"*"))</f>
        <v/>
      </c>
      <c r="N47" s="8">
        <f>IF($A47="","",COUNTIFS(Log!$A$2:$A$5000,$A47,Log!$F$2:$F$5000,"*→ "&amp;N$1&amp;"*"))</f>
        <v/>
      </c>
      <c r="O47" s="8">
        <f>IF($A47="","",COUNTIFS(Log!$A$2:$A$5000,$A47,Log!$F$2:$F$5000,"*→ "&amp;O$1&amp;"*"))</f>
        <v/>
      </c>
      <c r="P47" s="8">
        <f>IF($A47="","",COUNTIFS(Log!$A$2:$A$5000,$A47,Log!$F$2:$F$5000,"*→ "&amp;P$1&amp;"*"))</f>
        <v/>
      </c>
      <c r="Q47" s="8">
        <f>IF($A47="","",COUNTIFS(Log!$A$2:$A$5000,$A47,Log!$F$2:$F$5000,"*→ "&amp;Q$1&amp;"*"))</f>
        <v/>
      </c>
      <c r="R47" s="8">
        <f>IF($A47="","",COUNTIFS(Log!$A$2:$A$5000,$A47,Log!$F$2:$F$5000,"*→ "&amp;R$1&amp;"*"))</f>
        <v/>
      </c>
    </row>
    <row r="48">
      <c r="A48" s="8">
        <f>IF(Students!A48="","",Students!A48)</f>
        <v/>
      </c>
      <c r="B48" s="8">
        <f>IF($A48="","",COUNTIFS(Log!$A$2:$A$5000,$A48,Log!$F$2:$F$5000,"*→ "&amp;B$1&amp;"*"))</f>
        <v/>
      </c>
      <c r="C48" s="8">
        <f>IF($A48="","",COUNTIFS(Log!$A$2:$A$5000,$A48,Log!$F$2:$F$5000,"*→ "&amp;C$1&amp;"*"))</f>
        <v/>
      </c>
      <c r="D48" s="8">
        <f>IF($A48="","",COUNTIFS(Log!$A$2:$A$5000,$A48,Log!$F$2:$F$5000,"*→ "&amp;D$1&amp;"*"))</f>
        <v/>
      </c>
      <c r="E48" s="8">
        <f>IF($A48="","",COUNTIFS(Log!$A$2:$A$5000,$A48,Log!$F$2:$F$5000,"*→ "&amp;E$1&amp;"*"))</f>
        <v/>
      </c>
      <c r="F48" s="8">
        <f>IF($A48="","",COUNTIFS(Log!$A$2:$A$5000,$A48,Log!$F$2:$F$5000,"*→ "&amp;F$1&amp;"*"))</f>
        <v/>
      </c>
      <c r="G48" s="8">
        <f>IF($A48="","",COUNTIFS(Log!$A$2:$A$5000,$A48,Log!$F$2:$F$5000,"*→ "&amp;G$1&amp;"*"))</f>
        <v/>
      </c>
      <c r="H48" s="8">
        <f>IF($A48="","",COUNTIFS(Log!$A$2:$A$5000,$A48,Log!$F$2:$F$5000,"*→ "&amp;H$1&amp;"*"))</f>
        <v/>
      </c>
      <c r="I48" s="8">
        <f>IF($A48="","",COUNTIFS(Log!$A$2:$A$5000,$A48,Log!$F$2:$F$5000,"*→ "&amp;I$1&amp;"*"))</f>
        <v/>
      </c>
      <c r="J48" s="8">
        <f>IF($A48="","",COUNTIFS(Log!$A$2:$A$5000,$A48,Log!$F$2:$F$5000,"*→ "&amp;J$1&amp;"*"))</f>
        <v/>
      </c>
      <c r="K48" s="8">
        <f>IF($A48="","",COUNTIFS(Log!$A$2:$A$5000,$A48,Log!$F$2:$F$5000,"*→ "&amp;K$1&amp;"*"))</f>
        <v/>
      </c>
      <c r="L48" s="8">
        <f>IF($A48="","",COUNTIFS(Log!$A$2:$A$5000,$A48,Log!$F$2:$F$5000,"*→ "&amp;L$1&amp;"*"))</f>
        <v/>
      </c>
      <c r="M48" s="8">
        <f>IF($A48="","",COUNTIFS(Log!$A$2:$A$5000,$A48,Log!$F$2:$F$5000,"*→ "&amp;M$1&amp;"*"))</f>
        <v/>
      </c>
      <c r="N48" s="8">
        <f>IF($A48="","",COUNTIFS(Log!$A$2:$A$5000,$A48,Log!$F$2:$F$5000,"*→ "&amp;N$1&amp;"*"))</f>
        <v/>
      </c>
      <c r="O48" s="8">
        <f>IF($A48="","",COUNTIFS(Log!$A$2:$A$5000,$A48,Log!$F$2:$F$5000,"*→ "&amp;O$1&amp;"*"))</f>
        <v/>
      </c>
      <c r="P48" s="8">
        <f>IF($A48="","",COUNTIFS(Log!$A$2:$A$5000,$A48,Log!$F$2:$F$5000,"*→ "&amp;P$1&amp;"*"))</f>
        <v/>
      </c>
      <c r="Q48" s="8">
        <f>IF($A48="","",COUNTIFS(Log!$A$2:$A$5000,$A48,Log!$F$2:$F$5000,"*→ "&amp;Q$1&amp;"*"))</f>
        <v/>
      </c>
      <c r="R48" s="8">
        <f>IF($A48="","",COUNTIFS(Log!$A$2:$A$5000,$A48,Log!$F$2:$F$5000,"*→ "&amp;R$1&amp;"*"))</f>
        <v/>
      </c>
    </row>
    <row r="49">
      <c r="A49" s="8">
        <f>IF(Students!A49="","",Students!A49)</f>
        <v/>
      </c>
      <c r="B49" s="8">
        <f>IF($A49="","",COUNTIFS(Log!$A$2:$A$5000,$A49,Log!$F$2:$F$5000,"*→ "&amp;B$1&amp;"*"))</f>
        <v/>
      </c>
      <c r="C49" s="8">
        <f>IF($A49="","",COUNTIFS(Log!$A$2:$A$5000,$A49,Log!$F$2:$F$5000,"*→ "&amp;C$1&amp;"*"))</f>
        <v/>
      </c>
      <c r="D49" s="8">
        <f>IF($A49="","",COUNTIFS(Log!$A$2:$A$5000,$A49,Log!$F$2:$F$5000,"*→ "&amp;D$1&amp;"*"))</f>
        <v/>
      </c>
      <c r="E49" s="8">
        <f>IF($A49="","",COUNTIFS(Log!$A$2:$A$5000,$A49,Log!$F$2:$F$5000,"*→ "&amp;E$1&amp;"*"))</f>
        <v/>
      </c>
      <c r="F49" s="8">
        <f>IF($A49="","",COUNTIFS(Log!$A$2:$A$5000,$A49,Log!$F$2:$F$5000,"*→ "&amp;F$1&amp;"*"))</f>
        <v/>
      </c>
      <c r="G49" s="8">
        <f>IF($A49="","",COUNTIFS(Log!$A$2:$A$5000,$A49,Log!$F$2:$F$5000,"*→ "&amp;G$1&amp;"*"))</f>
        <v/>
      </c>
      <c r="H49" s="8">
        <f>IF($A49="","",COUNTIFS(Log!$A$2:$A$5000,$A49,Log!$F$2:$F$5000,"*→ "&amp;H$1&amp;"*"))</f>
        <v/>
      </c>
      <c r="I49" s="8">
        <f>IF($A49="","",COUNTIFS(Log!$A$2:$A$5000,$A49,Log!$F$2:$F$5000,"*→ "&amp;I$1&amp;"*"))</f>
        <v/>
      </c>
      <c r="J49" s="8">
        <f>IF($A49="","",COUNTIFS(Log!$A$2:$A$5000,$A49,Log!$F$2:$F$5000,"*→ "&amp;J$1&amp;"*"))</f>
        <v/>
      </c>
      <c r="K49" s="8">
        <f>IF($A49="","",COUNTIFS(Log!$A$2:$A$5000,$A49,Log!$F$2:$F$5000,"*→ "&amp;K$1&amp;"*"))</f>
        <v/>
      </c>
      <c r="L49" s="8">
        <f>IF($A49="","",COUNTIFS(Log!$A$2:$A$5000,$A49,Log!$F$2:$F$5000,"*→ "&amp;L$1&amp;"*"))</f>
        <v/>
      </c>
      <c r="M49" s="8">
        <f>IF($A49="","",COUNTIFS(Log!$A$2:$A$5000,$A49,Log!$F$2:$F$5000,"*→ "&amp;M$1&amp;"*"))</f>
        <v/>
      </c>
      <c r="N49" s="8">
        <f>IF($A49="","",COUNTIFS(Log!$A$2:$A$5000,$A49,Log!$F$2:$F$5000,"*→ "&amp;N$1&amp;"*"))</f>
        <v/>
      </c>
      <c r="O49" s="8">
        <f>IF($A49="","",COUNTIFS(Log!$A$2:$A$5000,$A49,Log!$F$2:$F$5000,"*→ "&amp;O$1&amp;"*"))</f>
        <v/>
      </c>
      <c r="P49" s="8">
        <f>IF($A49="","",COUNTIFS(Log!$A$2:$A$5000,$A49,Log!$F$2:$F$5000,"*→ "&amp;P$1&amp;"*"))</f>
        <v/>
      </c>
      <c r="Q49" s="8">
        <f>IF($A49="","",COUNTIFS(Log!$A$2:$A$5000,$A49,Log!$F$2:$F$5000,"*→ "&amp;Q$1&amp;"*"))</f>
        <v/>
      </c>
      <c r="R49" s="8">
        <f>IF($A49="","",COUNTIFS(Log!$A$2:$A$5000,$A49,Log!$F$2:$F$5000,"*→ "&amp;R$1&amp;"*"))</f>
        <v/>
      </c>
    </row>
    <row r="50">
      <c r="A50" s="8">
        <f>IF(Students!A50="","",Students!A50)</f>
        <v/>
      </c>
      <c r="B50" s="8">
        <f>IF($A50="","",COUNTIFS(Log!$A$2:$A$5000,$A50,Log!$F$2:$F$5000,"*→ "&amp;B$1&amp;"*"))</f>
        <v/>
      </c>
      <c r="C50" s="8">
        <f>IF($A50="","",COUNTIFS(Log!$A$2:$A$5000,$A50,Log!$F$2:$F$5000,"*→ "&amp;C$1&amp;"*"))</f>
        <v/>
      </c>
      <c r="D50" s="8">
        <f>IF($A50="","",COUNTIFS(Log!$A$2:$A$5000,$A50,Log!$F$2:$F$5000,"*→ "&amp;D$1&amp;"*"))</f>
        <v/>
      </c>
      <c r="E50" s="8">
        <f>IF($A50="","",COUNTIFS(Log!$A$2:$A$5000,$A50,Log!$F$2:$F$5000,"*→ "&amp;E$1&amp;"*"))</f>
        <v/>
      </c>
      <c r="F50" s="8">
        <f>IF($A50="","",COUNTIFS(Log!$A$2:$A$5000,$A50,Log!$F$2:$F$5000,"*→ "&amp;F$1&amp;"*"))</f>
        <v/>
      </c>
      <c r="G50" s="8">
        <f>IF($A50="","",COUNTIFS(Log!$A$2:$A$5000,$A50,Log!$F$2:$F$5000,"*→ "&amp;G$1&amp;"*"))</f>
        <v/>
      </c>
      <c r="H50" s="8">
        <f>IF($A50="","",COUNTIFS(Log!$A$2:$A$5000,$A50,Log!$F$2:$F$5000,"*→ "&amp;H$1&amp;"*"))</f>
        <v/>
      </c>
      <c r="I50" s="8">
        <f>IF($A50="","",COUNTIFS(Log!$A$2:$A$5000,$A50,Log!$F$2:$F$5000,"*→ "&amp;I$1&amp;"*"))</f>
        <v/>
      </c>
      <c r="J50" s="8">
        <f>IF($A50="","",COUNTIFS(Log!$A$2:$A$5000,$A50,Log!$F$2:$F$5000,"*→ "&amp;J$1&amp;"*"))</f>
        <v/>
      </c>
      <c r="K50" s="8">
        <f>IF($A50="","",COUNTIFS(Log!$A$2:$A$5000,$A50,Log!$F$2:$F$5000,"*→ "&amp;K$1&amp;"*"))</f>
        <v/>
      </c>
      <c r="L50" s="8">
        <f>IF($A50="","",COUNTIFS(Log!$A$2:$A$5000,$A50,Log!$F$2:$F$5000,"*→ "&amp;L$1&amp;"*"))</f>
        <v/>
      </c>
      <c r="M50" s="8">
        <f>IF($A50="","",COUNTIFS(Log!$A$2:$A$5000,$A50,Log!$F$2:$F$5000,"*→ "&amp;M$1&amp;"*"))</f>
        <v/>
      </c>
      <c r="N50" s="8">
        <f>IF($A50="","",COUNTIFS(Log!$A$2:$A$5000,$A50,Log!$F$2:$F$5000,"*→ "&amp;N$1&amp;"*"))</f>
        <v/>
      </c>
      <c r="O50" s="8">
        <f>IF($A50="","",COUNTIFS(Log!$A$2:$A$5000,$A50,Log!$F$2:$F$5000,"*→ "&amp;O$1&amp;"*"))</f>
        <v/>
      </c>
      <c r="P50" s="8">
        <f>IF($A50="","",COUNTIFS(Log!$A$2:$A$5000,$A50,Log!$F$2:$F$5000,"*→ "&amp;P$1&amp;"*"))</f>
        <v/>
      </c>
      <c r="Q50" s="8">
        <f>IF($A50="","",COUNTIFS(Log!$A$2:$A$5000,$A50,Log!$F$2:$F$5000,"*→ "&amp;Q$1&amp;"*"))</f>
        <v/>
      </c>
      <c r="R50" s="8">
        <f>IF($A50="","",COUNTIFS(Log!$A$2:$A$5000,$A50,Log!$F$2:$F$5000,"*→ "&amp;R$1&amp;"*"))</f>
        <v/>
      </c>
    </row>
    <row r="51">
      <c r="A51" s="8">
        <f>IF(Students!A51="","",Students!A51)</f>
        <v/>
      </c>
      <c r="B51" s="8">
        <f>IF($A51="","",COUNTIFS(Log!$A$2:$A$5000,$A51,Log!$F$2:$F$5000,"*→ "&amp;B$1&amp;"*"))</f>
        <v/>
      </c>
      <c r="C51" s="8">
        <f>IF($A51="","",COUNTIFS(Log!$A$2:$A$5000,$A51,Log!$F$2:$F$5000,"*→ "&amp;C$1&amp;"*"))</f>
        <v/>
      </c>
      <c r="D51" s="8">
        <f>IF($A51="","",COUNTIFS(Log!$A$2:$A$5000,$A51,Log!$F$2:$F$5000,"*→ "&amp;D$1&amp;"*"))</f>
        <v/>
      </c>
      <c r="E51" s="8">
        <f>IF($A51="","",COUNTIFS(Log!$A$2:$A$5000,$A51,Log!$F$2:$F$5000,"*→ "&amp;E$1&amp;"*"))</f>
        <v/>
      </c>
      <c r="F51" s="8">
        <f>IF($A51="","",COUNTIFS(Log!$A$2:$A$5000,$A51,Log!$F$2:$F$5000,"*→ "&amp;F$1&amp;"*"))</f>
        <v/>
      </c>
      <c r="G51" s="8">
        <f>IF($A51="","",COUNTIFS(Log!$A$2:$A$5000,$A51,Log!$F$2:$F$5000,"*→ "&amp;G$1&amp;"*"))</f>
        <v/>
      </c>
      <c r="H51" s="8">
        <f>IF($A51="","",COUNTIFS(Log!$A$2:$A$5000,$A51,Log!$F$2:$F$5000,"*→ "&amp;H$1&amp;"*"))</f>
        <v/>
      </c>
      <c r="I51" s="8">
        <f>IF($A51="","",COUNTIFS(Log!$A$2:$A$5000,$A51,Log!$F$2:$F$5000,"*→ "&amp;I$1&amp;"*"))</f>
        <v/>
      </c>
      <c r="J51" s="8">
        <f>IF($A51="","",COUNTIFS(Log!$A$2:$A$5000,$A51,Log!$F$2:$F$5000,"*→ "&amp;J$1&amp;"*"))</f>
        <v/>
      </c>
      <c r="K51" s="8">
        <f>IF($A51="","",COUNTIFS(Log!$A$2:$A$5000,$A51,Log!$F$2:$F$5000,"*→ "&amp;K$1&amp;"*"))</f>
        <v/>
      </c>
      <c r="L51" s="8">
        <f>IF($A51="","",COUNTIFS(Log!$A$2:$A$5000,$A51,Log!$F$2:$F$5000,"*→ "&amp;L$1&amp;"*"))</f>
        <v/>
      </c>
      <c r="M51" s="8">
        <f>IF($A51="","",COUNTIFS(Log!$A$2:$A$5000,$A51,Log!$F$2:$F$5000,"*→ "&amp;M$1&amp;"*"))</f>
        <v/>
      </c>
      <c r="N51" s="8">
        <f>IF($A51="","",COUNTIFS(Log!$A$2:$A$5000,$A51,Log!$F$2:$F$5000,"*→ "&amp;N$1&amp;"*"))</f>
        <v/>
      </c>
      <c r="O51" s="8">
        <f>IF($A51="","",COUNTIFS(Log!$A$2:$A$5000,$A51,Log!$F$2:$F$5000,"*→ "&amp;O$1&amp;"*"))</f>
        <v/>
      </c>
      <c r="P51" s="8">
        <f>IF($A51="","",COUNTIFS(Log!$A$2:$A$5000,$A51,Log!$F$2:$F$5000,"*→ "&amp;P$1&amp;"*"))</f>
        <v/>
      </c>
      <c r="Q51" s="8">
        <f>IF($A51="","",COUNTIFS(Log!$A$2:$A$5000,$A51,Log!$F$2:$F$5000,"*→ "&amp;Q$1&amp;"*"))</f>
        <v/>
      </c>
      <c r="R51" s="8">
        <f>IF($A51="","",COUNTIFS(Log!$A$2:$A$5000,$A51,Log!$F$2:$F$5000,"*→ "&amp;R$1&amp;"*"))</f>
        <v/>
      </c>
    </row>
    <row r="52">
      <c r="A52" s="8">
        <f>IF(Students!A52="","",Students!A52)</f>
        <v/>
      </c>
      <c r="B52" s="8">
        <f>IF($A52="","",COUNTIFS(Log!$A$2:$A$5000,$A52,Log!$F$2:$F$5000,"*→ "&amp;B$1&amp;"*"))</f>
        <v/>
      </c>
      <c r="C52" s="8">
        <f>IF($A52="","",COUNTIFS(Log!$A$2:$A$5000,$A52,Log!$F$2:$F$5000,"*→ "&amp;C$1&amp;"*"))</f>
        <v/>
      </c>
      <c r="D52" s="8">
        <f>IF($A52="","",COUNTIFS(Log!$A$2:$A$5000,$A52,Log!$F$2:$F$5000,"*→ "&amp;D$1&amp;"*"))</f>
        <v/>
      </c>
      <c r="E52" s="8">
        <f>IF($A52="","",COUNTIFS(Log!$A$2:$A$5000,$A52,Log!$F$2:$F$5000,"*→ "&amp;E$1&amp;"*"))</f>
        <v/>
      </c>
      <c r="F52" s="8">
        <f>IF($A52="","",COUNTIFS(Log!$A$2:$A$5000,$A52,Log!$F$2:$F$5000,"*→ "&amp;F$1&amp;"*"))</f>
        <v/>
      </c>
      <c r="G52" s="8">
        <f>IF($A52="","",COUNTIFS(Log!$A$2:$A$5000,$A52,Log!$F$2:$F$5000,"*→ "&amp;G$1&amp;"*"))</f>
        <v/>
      </c>
      <c r="H52" s="8">
        <f>IF($A52="","",COUNTIFS(Log!$A$2:$A$5000,$A52,Log!$F$2:$F$5000,"*→ "&amp;H$1&amp;"*"))</f>
        <v/>
      </c>
      <c r="I52" s="8">
        <f>IF($A52="","",COUNTIFS(Log!$A$2:$A$5000,$A52,Log!$F$2:$F$5000,"*→ "&amp;I$1&amp;"*"))</f>
        <v/>
      </c>
      <c r="J52" s="8">
        <f>IF($A52="","",COUNTIFS(Log!$A$2:$A$5000,$A52,Log!$F$2:$F$5000,"*→ "&amp;J$1&amp;"*"))</f>
        <v/>
      </c>
      <c r="K52" s="8">
        <f>IF($A52="","",COUNTIFS(Log!$A$2:$A$5000,$A52,Log!$F$2:$F$5000,"*→ "&amp;K$1&amp;"*"))</f>
        <v/>
      </c>
      <c r="L52" s="8">
        <f>IF($A52="","",COUNTIFS(Log!$A$2:$A$5000,$A52,Log!$F$2:$F$5000,"*→ "&amp;L$1&amp;"*"))</f>
        <v/>
      </c>
      <c r="M52" s="8">
        <f>IF($A52="","",COUNTIFS(Log!$A$2:$A$5000,$A52,Log!$F$2:$F$5000,"*→ "&amp;M$1&amp;"*"))</f>
        <v/>
      </c>
      <c r="N52" s="8">
        <f>IF($A52="","",COUNTIFS(Log!$A$2:$A$5000,$A52,Log!$F$2:$F$5000,"*→ "&amp;N$1&amp;"*"))</f>
        <v/>
      </c>
      <c r="O52" s="8">
        <f>IF($A52="","",COUNTIFS(Log!$A$2:$A$5000,$A52,Log!$F$2:$F$5000,"*→ "&amp;O$1&amp;"*"))</f>
        <v/>
      </c>
      <c r="P52" s="8">
        <f>IF($A52="","",COUNTIFS(Log!$A$2:$A$5000,$A52,Log!$F$2:$F$5000,"*→ "&amp;P$1&amp;"*"))</f>
        <v/>
      </c>
      <c r="Q52" s="8">
        <f>IF($A52="","",COUNTIFS(Log!$A$2:$A$5000,$A52,Log!$F$2:$F$5000,"*→ "&amp;Q$1&amp;"*"))</f>
        <v/>
      </c>
      <c r="R52" s="8">
        <f>IF($A52="","",COUNTIFS(Log!$A$2:$A$5000,$A52,Log!$F$2:$F$5000,"*→ "&amp;R$1&amp;"*"))</f>
        <v/>
      </c>
    </row>
    <row r="53">
      <c r="A53" s="8">
        <f>IF(Students!A53="","",Students!A53)</f>
        <v/>
      </c>
      <c r="B53" s="8">
        <f>IF($A53="","",COUNTIFS(Log!$A$2:$A$5000,$A53,Log!$F$2:$F$5000,"*→ "&amp;B$1&amp;"*"))</f>
        <v/>
      </c>
      <c r="C53" s="8">
        <f>IF($A53="","",COUNTIFS(Log!$A$2:$A$5000,$A53,Log!$F$2:$F$5000,"*→ "&amp;C$1&amp;"*"))</f>
        <v/>
      </c>
      <c r="D53" s="8">
        <f>IF($A53="","",COUNTIFS(Log!$A$2:$A$5000,$A53,Log!$F$2:$F$5000,"*→ "&amp;D$1&amp;"*"))</f>
        <v/>
      </c>
      <c r="E53" s="8">
        <f>IF($A53="","",COUNTIFS(Log!$A$2:$A$5000,$A53,Log!$F$2:$F$5000,"*→ "&amp;E$1&amp;"*"))</f>
        <v/>
      </c>
      <c r="F53" s="8">
        <f>IF($A53="","",COUNTIFS(Log!$A$2:$A$5000,$A53,Log!$F$2:$F$5000,"*→ "&amp;F$1&amp;"*"))</f>
        <v/>
      </c>
      <c r="G53" s="8">
        <f>IF($A53="","",COUNTIFS(Log!$A$2:$A$5000,$A53,Log!$F$2:$F$5000,"*→ "&amp;G$1&amp;"*"))</f>
        <v/>
      </c>
      <c r="H53" s="8">
        <f>IF($A53="","",COUNTIFS(Log!$A$2:$A$5000,$A53,Log!$F$2:$F$5000,"*→ "&amp;H$1&amp;"*"))</f>
        <v/>
      </c>
      <c r="I53" s="8">
        <f>IF($A53="","",COUNTIFS(Log!$A$2:$A$5000,$A53,Log!$F$2:$F$5000,"*→ "&amp;I$1&amp;"*"))</f>
        <v/>
      </c>
      <c r="J53" s="8">
        <f>IF($A53="","",COUNTIFS(Log!$A$2:$A$5000,$A53,Log!$F$2:$F$5000,"*→ "&amp;J$1&amp;"*"))</f>
        <v/>
      </c>
      <c r="K53" s="8">
        <f>IF($A53="","",COUNTIFS(Log!$A$2:$A$5000,$A53,Log!$F$2:$F$5000,"*→ "&amp;K$1&amp;"*"))</f>
        <v/>
      </c>
      <c r="L53" s="8">
        <f>IF($A53="","",COUNTIFS(Log!$A$2:$A$5000,$A53,Log!$F$2:$F$5000,"*→ "&amp;L$1&amp;"*"))</f>
        <v/>
      </c>
      <c r="M53" s="8">
        <f>IF($A53="","",COUNTIFS(Log!$A$2:$A$5000,$A53,Log!$F$2:$F$5000,"*→ "&amp;M$1&amp;"*"))</f>
        <v/>
      </c>
      <c r="N53" s="8">
        <f>IF($A53="","",COUNTIFS(Log!$A$2:$A$5000,$A53,Log!$F$2:$F$5000,"*→ "&amp;N$1&amp;"*"))</f>
        <v/>
      </c>
      <c r="O53" s="8">
        <f>IF($A53="","",COUNTIFS(Log!$A$2:$A$5000,$A53,Log!$F$2:$F$5000,"*→ "&amp;O$1&amp;"*"))</f>
        <v/>
      </c>
      <c r="P53" s="8">
        <f>IF($A53="","",COUNTIFS(Log!$A$2:$A$5000,$A53,Log!$F$2:$F$5000,"*→ "&amp;P$1&amp;"*"))</f>
        <v/>
      </c>
      <c r="Q53" s="8">
        <f>IF($A53="","",COUNTIFS(Log!$A$2:$A$5000,$A53,Log!$F$2:$F$5000,"*→ "&amp;Q$1&amp;"*"))</f>
        <v/>
      </c>
      <c r="R53" s="8">
        <f>IF($A53="","",COUNTIFS(Log!$A$2:$A$5000,$A53,Log!$F$2:$F$5000,"*→ "&amp;R$1&amp;"*"))</f>
        <v/>
      </c>
    </row>
    <row r="54">
      <c r="A54" s="8">
        <f>IF(Students!A54="","",Students!A54)</f>
        <v/>
      </c>
      <c r="B54" s="8">
        <f>IF($A54="","",COUNTIFS(Log!$A$2:$A$5000,$A54,Log!$F$2:$F$5000,"*→ "&amp;B$1&amp;"*"))</f>
        <v/>
      </c>
      <c r="C54" s="8">
        <f>IF($A54="","",COUNTIFS(Log!$A$2:$A$5000,$A54,Log!$F$2:$F$5000,"*→ "&amp;C$1&amp;"*"))</f>
        <v/>
      </c>
      <c r="D54" s="8">
        <f>IF($A54="","",COUNTIFS(Log!$A$2:$A$5000,$A54,Log!$F$2:$F$5000,"*→ "&amp;D$1&amp;"*"))</f>
        <v/>
      </c>
      <c r="E54" s="8">
        <f>IF($A54="","",COUNTIFS(Log!$A$2:$A$5000,$A54,Log!$F$2:$F$5000,"*→ "&amp;E$1&amp;"*"))</f>
        <v/>
      </c>
      <c r="F54" s="8">
        <f>IF($A54="","",COUNTIFS(Log!$A$2:$A$5000,$A54,Log!$F$2:$F$5000,"*→ "&amp;F$1&amp;"*"))</f>
        <v/>
      </c>
      <c r="G54" s="8">
        <f>IF($A54="","",COUNTIFS(Log!$A$2:$A$5000,$A54,Log!$F$2:$F$5000,"*→ "&amp;G$1&amp;"*"))</f>
        <v/>
      </c>
      <c r="H54" s="8">
        <f>IF($A54="","",COUNTIFS(Log!$A$2:$A$5000,$A54,Log!$F$2:$F$5000,"*→ "&amp;H$1&amp;"*"))</f>
        <v/>
      </c>
      <c r="I54" s="8">
        <f>IF($A54="","",COUNTIFS(Log!$A$2:$A$5000,$A54,Log!$F$2:$F$5000,"*→ "&amp;I$1&amp;"*"))</f>
        <v/>
      </c>
      <c r="J54" s="8">
        <f>IF($A54="","",COUNTIFS(Log!$A$2:$A$5000,$A54,Log!$F$2:$F$5000,"*→ "&amp;J$1&amp;"*"))</f>
        <v/>
      </c>
      <c r="K54" s="8">
        <f>IF($A54="","",COUNTIFS(Log!$A$2:$A$5000,$A54,Log!$F$2:$F$5000,"*→ "&amp;K$1&amp;"*"))</f>
        <v/>
      </c>
      <c r="L54" s="8">
        <f>IF($A54="","",COUNTIFS(Log!$A$2:$A$5000,$A54,Log!$F$2:$F$5000,"*→ "&amp;L$1&amp;"*"))</f>
        <v/>
      </c>
      <c r="M54" s="8">
        <f>IF($A54="","",COUNTIFS(Log!$A$2:$A$5000,$A54,Log!$F$2:$F$5000,"*→ "&amp;M$1&amp;"*"))</f>
        <v/>
      </c>
      <c r="N54" s="8">
        <f>IF($A54="","",COUNTIFS(Log!$A$2:$A$5000,$A54,Log!$F$2:$F$5000,"*→ "&amp;N$1&amp;"*"))</f>
        <v/>
      </c>
      <c r="O54" s="8">
        <f>IF($A54="","",COUNTIFS(Log!$A$2:$A$5000,$A54,Log!$F$2:$F$5000,"*→ "&amp;O$1&amp;"*"))</f>
        <v/>
      </c>
      <c r="P54" s="8">
        <f>IF($A54="","",COUNTIFS(Log!$A$2:$A$5000,$A54,Log!$F$2:$F$5000,"*→ "&amp;P$1&amp;"*"))</f>
        <v/>
      </c>
      <c r="Q54" s="8">
        <f>IF($A54="","",COUNTIFS(Log!$A$2:$A$5000,$A54,Log!$F$2:$F$5000,"*→ "&amp;Q$1&amp;"*"))</f>
        <v/>
      </c>
      <c r="R54" s="8">
        <f>IF($A54="","",COUNTIFS(Log!$A$2:$A$5000,$A54,Log!$F$2:$F$5000,"*→ "&amp;R$1&amp;"*"))</f>
        <v/>
      </c>
    </row>
    <row r="55">
      <c r="A55" s="8">
        <f>IF(Students!A55="","",Students!A55)</f>
        <v/>
      </c>
      <c r="B55" s="8">
        <f>IF($A55="","",COUNTIFS(Log!$A$2:$A$5000,$A55,Log!$F$2:$F$5000,"*→ "&amp;B$1&amp;"*"))</f>
        <v/>
      </c>
      <c r="C55" s="8">
        <f>IF($A55="","",COUNTIFS(Log!$A$2:$A$5000,$A55,Log!$F$2:$F$5000,"*→ "&amp;C$1&amp;"*"))</f>
        <v/>
      </c>
      <c r="D55" s="8">
        <f>IF($A55="","",COUNTIFS(Log!$A$2:$A$5000,$A55,Log!$F$2:$F$5000,"*→ "&amp;D$1&amp;"*"))</f>
        <v/>
      </c>
      <c r="E55" s="8">
        <f>IF($A55="","",COUNTIFS(Log!$A$2:$A$5000,$A55,Log!$F$2:$F$5000,"*→ "&amp;E$1&amp;"*"))</f>
        <v/>
      </c>
      <c r="F55" s="8">
        <f>IF($A55="","",COUNTIFS(Log!$A$2:$A$5000,$A55,Log!$F$2:$F$5000,"*→ "&amp;F$1&amp;"*"))</f>
        <v/>
      </c>
      <c r="G55" s="8">
        <f>IF($A55="","",COUNTIFS(Log!$A$2:$A$5000,$A55,Log!$F$2:$F$5000,"*→ "&amp;G$1&amp;"*"))</f>
        <v/>
      </c>
      <c r="H55" s="8">
        <f>IF($A55="","",COUNTIFS(Log!$A$2:$A$5000,$A55,Log!$F$2:$F$5000,"*→ "&amp;H$1&amp;"*"))</f>
        <v/>
      </c>
      <c r="I55" s="8">
        <f>IF($A55="","",COUNTIFS(Log!$A$2:$A$5000,$A55,Log!$F$2:$F$5000,"*→ "&amp;I$1&amp;"*"))</f>
        <v/>
      </c>
      <c r="J55" s="8">
        <f>IF($A55="","",COUNTIFS(Log!$A$2:$A$5000,$A55,Log!$F$2:$F$5000,"*→ "&amp;J$1&amp;"*"))</f>
        <v/>
      </c>
      <c r="K55" s="8">
        <f>IF($A55="","",COUNTIFS(Log!$A$2:$A$5000,$A55,Log!$F$2:$F$5000,"*→ "&amp;K$1&amp;"*"))</f>
        <v/>
      </c>
      <c r="L55" s="8">
        <f>IF($A55="","",COUNTIFS(Log!$A$2:$A$5000,$A55,Log!$F$2:$F$5000,"*→ "&amp;L$1&amp;"*"))</f>
        <v/>
      </c>
      <c r="M55" s="8">
        <f>IF($A55="","",COUNTIFS(Log!$A$2:$A$5000,$A55,Log!$F$2:$F$5000,"*→ "&amp;M$1&amp;"*"))</f>
        <v/>
      </c>
      <c r="N55" s="8">
        <f>IF($A55="","",COUNTIFS(Log!$A$2:$A$5000,$A55,Log!$F$2:$F$5000,"*→ "&amp;N$1&amp;"*"))</f>
        <v/>
      </c>
      <c r="O55" s="8">
        <f>IF($A55="","",COUNTIFS(Log!$A$2:$A$5000,$A55,Log!$F$2:$F$5000,"*→ "&amp;O$1&amp;"*"))</f>
        <v/>
      </c>
      <c r="P55" s="8">
        <f>IF($A55="","",COUNTIFS(Log!$A$2:$A$5000,$A55,Log!$F$2:$F$5000,"*→ "&amp;P$1&amp;"*"))</f>
        <v/>
      </c>
      <c r="Q55" s="8">
        <f>IF($A55="","",COUNTIFS(Log!$A$2:$A$5000,$A55,Log!$F$2:$F$5000,"*→ "&amp;Q$1&amp;"*"))</f>
        <v/>
      </c>
      <c r="R55" s="8">
        <f>IF($A55="","",COUNTIFS(Log!$A$2:$A$5000,$A55,Log!$F$2:$F$5000,"*→ "&amp;R$1&amp;"*"))</f>
        <v/>
      </c>
    </row>
    <row r="56">
      <c r="A56" s="8">
        <f>IF(Students!A56="","",Students!A56)</f>
        <v/>
      </c>
      <c r="B56" s="8">
        <f>IF($A56="","",COUNTIFS(Log!$A$2:$A$5000,$A56,Log!$F$2:$F$5000,"*→ "&amp;B$1&amp;"*"))</f>
        <v/>
      </c>
      <c r="C56" s="8">
        <f>IF($A56="","",COUNTIFS(Log!$A$2:$A$5000,$A56,Log!$F$2:$F$5000,"*→ "&amp;C$1&amp;"*"))</f>
        <v/>
      </c>
      <c r="D56" s="8">
        <f>IF($A56="","",COUNTIFS(Log!$A$2:$A$5000,$A56,Log!$F$2:$F$5000,"*→ "&amp;D$1&amp;"*"))</f>
        <v/>
      </c>
      <c r="E56" s="8">
        <f>IF($A56="","",COUNTIFS(Log!$A$2:$A$5000,$A56,Log!$F$2:$F$5000,"*→ "&amp;E$1&amp;"*"))</f>
        <v/>
      </c>
      <c r="F56" s="8">
        <f>IF($A56="","",COUNTIFS(Log!$A$2:$A$5000,$A56,Log!$F$2:$F$5000,"*→ "&amp;F$1&amp;"*"))</f>
        <v/>
      </c>
      <c r="G56" s="8">
        <f>IF($A56="","",COUNTIFS(Log!$A$2:$A$5000,$A56,Log!$F$2:$F$5000,"*→ "&amp;G$1&amp;"*"))</f>
        <v/>
      </c>
      <c r="H56" s="8">
        <f>IF($A56="","",COUNTIFS(Log!$A$2:$A$5000,$A56,Log!$F$2:$F$5000,"*→ "&amp;H$1&amp;"*"))</f>
        <v/>
      </c>
      <c r="I56" s="8">
        <f>IF($A56="","",COUNTIFS(Log!$A$2:$A$5000,$A56,Log!$F$2:$F$5000,"*→ "&amp;I$1&amp;"*"))</f>
        <v/>
      </c>
      <c r="J56" s="8">
        <f>IF($A56="","",COUNTIFS(Log!$A$2:$A$5000,$A56,Log!$F$2:$F$5000,"*→ "&amp;J$1&amp;"*"))</f>
        <v/>
      </c>
      <c r="K56" s="8">
        <f>IF($A56="","",COUNTIFS(Log!$A$2:$A$5000,$A56,Log!$F$2:$F$5000,"*→ "&amp;K$1&amp;"*"))</f>
        <v/>
      </c>
      <c r="L56" s="8">
        <f>IF($A56="","",COUNTIFS(Log!$A$2:$A$5000,$A56,Log!$F$2:$F$5000,"*→ "&amp;L$1&amp;"*"))</f>
        <v/>
      </c>
      <c r="M56" s="8">
        <f>IF($A56="","",COUNTIFS(Log!$A$2:$A$5000,$A56,Log!$F$2:$F$5000,"*→ "&amp;M$1&amp;"*"))</f>
        <v/>
      </c>
      <c r="N56" s="8">
        <f>IF($A56="","",COUNTIFS(Log!$A$2:$A$5000,$A56,Log!$F$2:$F$5000,"*→ "&amp;N$1&amp;"*"))</f>
        <v/>
      </c>
      <c r="O56" s="8">
        <f>IF($A56="","",COUNTIFS(Log!$A$2:$A$5000,$A56,Log!$F$2:$F$5000,"*→ "&amp;O$1&amp;"*"))</f>
        <v/>
      </c>
      <c r="P56" s="8">
        <f>IF($A56="","",COUNTIFS(Log!$A$2:$A$5000,$A56,Log!$F$2:$F$5000,"*→ "&amp;P$1&amp;"*"))</f>
        <v/>
      </c>
      <c r="Q56" s="8">
        <f>IF($A56="","",COUNTIFS(Log!$A$2:$A$5000,$A56,Log!$F$2:$F$5000,"*→ "&amp;Q$1&amp;"*"))</f>
        <v/>
      </c>
      <c r="R56" s="8">
        <f>IF($A56="","",COUNTIFS(Log!$A$2:$A$5000,$A56,Log!$F$2:$F$5000,"*→ "&amp;R$1&amp;"*"))</f>
        <v/>
      </c>
    </row>
    <row r="57">
      <c r="A57" s="8">
        <f>IF(Students!A57="","",Students!A57)</f>
        <v/>
      </c>
      <c r="B57" s="8">
        <f>IF($A57="","",COUNTIFS(Log!$A$2:$A$5000,$A57,Log!$F$2:$F$5000,"*→ "&amp;B$1&amp;"*"))</f>
        <v/>
      </c>
      <c r="C57" s="8">
        <f>IF($A57="","",COUNTIFS(Log!$A$2:$A$5000,$A57,Log!$F$2:$F$5000,"*→ "&amp;C$1&amp;"*"))</f>
        <v/>
      </c>
      <c r="D57" s="8">
        <f>IF($A57="","",COUNTIFS(Log!$A$2:$A$5000,$A57,Log!$F$2:$F$5000,"*→ "&amp;D$1&amp;"*"))</f>
        <v/>
      </c>
      <c r="E57" s="8">
        <f>IF($A57="","",COUNTIFS(Log!$A$2:$A$5000,$A57,Log!$F$2:$F$5000,"*→ "&amp;E$1&amp;"*"))</f>
        <v/>
      </c>
      <c r="F57" s="8">
        <f>IF($A57="","",COUNTIFS(Log!$A$2:$A$5000,$A57,Log!$F$2:$F$5000,"*→ "&amp;F$1&amp;"*"))</f>
        <v/>
      </c>
      <c r="G57" s="8">
        <f>IF($A57="","",COUNTIFS(Log!$A$2:$A$5000,$A57,Log!$F$2:$F$5000,"*→ "&amp;G$1&amp;"*"))</f>
        <v/>
      </c>
      <c r="H57" s="8">
        <f>IF($A57="","",COUNTIFS(Log!$A$2:$A$5000,$A57,Log!$F$2:$F$5000,"*→ "&amp;H$1&amp;"*"))</f>
        <v/>
      </c>
      <c r="I57" s="8">
        <f>IF($A57="","",COUNTIFS(Log!$A$2:$A$5000,$A57,Log!$F$2:$F$5000,"*→ "&amp;I$1&amp;"*"))</f>
        <v/>
      </c>
      <c r="J57" s="8">
        <f>IF($A57="","",COUNTIFS(Log!$A$2:$A$5000,$A57,Log!$F$2:$F$5000,"*→ "&amp;J$1&amp;"*"))</f>
        <v/>
      </c>
      <c r="K57" s="8">
        <f>IF($A57="","",COUNTIFS(Log!$A$2:$A$5000,$A57,Log!$F$2:$F$5000,"*→ "&amp;K$1&amp;"*"))</f>
        <v/>
      </c>
      <c r="L57" s="8">
        <f>IF($A57="","",COUNTIFS(Log!$A$2:$A$5000,$A57,Log!$F$2:$F$5000,"*→ "&amp;L$1&amp;"*"))</f>
        <v/>
      </c>
      <c r="M57" s="8">
        <f>IF($A57="","",COUNTIFS(Log!$A$2:$A$5000,$A57,Log!$F$2:$F$5000,"*→ "&amp;M$1&amp;"*"))</f>
        <v/>
      </c>
      <c r="N57" s="8">
        <f>IF($A57="","",COUNTIFS(Log!$A$2:$A$5000,$A57,Log!$F$2:$F$5000,"*→ "&amp;N$1&amp;"*"))</f>
        <v/>
      </c>
      <c r="O57" s="8">
        <f>IF($A57="","",COUNTIFS(Log!$A$2:$A$5000,$A57,Log!$F$2:$F$5000,"*→ "&amp;O$1&amp;"*"))</f>
        <v/>
      </c>
      <c r="P57" s="8">
        <f>IF($A57="","",COUNTIFS(Log!$A$2:$A$5000,$A57,Log!$F$2:$F$5000,"*→ "&amp;P$1&amp;"*"))</f>
        <v/>
      </c>
      <c r="Q57" s="8">
        <f>IF($A57="","",COUNTIFS(Log!$A$2:$A$5000,$A57,Log!$F$2:$F$5000,"*→ "&amp;Q$1&amp;"*"))</f>
        <v/>
      </c>
      <c r="R57" s="8">
        <f>IF($A57="","",COUNTIFS(Log!$A$2:$A$5000,$A57,Log!$F$2:$F$5000,"*→ "&amp;R$1&amp;"*"))</f>
        <v/>
      </c>
    </row>
    <row r="58">
      <c r="A58" s="8">
        <f>IF(Students!A58="","",Students!A58)</f>
        <v/>
      </c>
      <c r="B58" s="8">
        <f>IF($A58="","",COUNTIFS(Log!$A$2:$A$5000,$A58,Log!$F$2:$F$5000,"*→ "&amp;B$1&amp;"*"))</f>
        <v/>
      </c>
      <c r="C58" s="8">
        <f>IF($A58="","",COUNTIFS(Log!$A$2:$A$5000,$A58,Log!$F$2:$F$5000,"*→ "&amp;C$1&amp;"*"))</f>
        <v/>
      </c>
      <c r="D58" s="8">
        <f>IF($A58="","",COUNTIFS(Log!$A$2:$A$5000,$A58,Log!$F$2:$F$5000,"*→ "&amp;D$1&amp;"*"))</f>
        <v/>
      </c>
      <c r="E58" s="8">
        <f>IF($A58="","",COUNTIFS(Log!$A$2:$A$5000,$A58,Log!$F$2:$F$5000,"*→ "&amp;E$1&amp;"*"))</f>
        <v/>
      </c>
      <c r="F58" s="8">
        <f>IF($A58="","",COUNTIFS(Log!$A$2:$A$5000,$A58,Log!$F$2:$F$5000,"*→ "&amp;F$1&amp;"*"))</f>
        <v/>
      </c>
      <c r="G58" s="8">
        <f>IF($A58="","",COUNTIFS(Log!$A$2:$A$5000,$A58,Log!$F$2:$F$5000,"*→ "&amp;G$1&amp;"*"))</f>
        <v/>
      </c>
      <c r="H58" s="8">
        <f>IF($A58="","",COUNTIFS(Log!$A$2:$A$5000,$A58,Log!$F$2:$F$5000,"*→ "&amp;H$1&amp;"*"))</f>
        <v/>
      </c>
      <c r="I58" s="8">
        <f>IF($A58="","",COUNTIFS(Log!$A$2:$A$5000,$A58,Log!$F$2:$F$5000,"*→ "&amp;I$1&amp;"*"))</f>
        <v/>
      </c>
      <c r="J58" s="8">
        <f>IF($A58="","",COUNTIFS(Log!$A$2:$A$5000,$A58,Log!$F$2:$F$5000,"*→ "&amp;J$1&amp;"*"))</f>
        <v/>
      </c>
      <c r="K58" s="8">
        <f>IF($A58="","",COUNTIFS(Log!$A$2:$A$5000,$A58,Log!$F$2:$F$5000,"*→ "&amp;K$1&amp;"*"))</f>
        <v/>
      </c>
      <c r="L58" s="8">
        <f>IF($A58="","",COUNTIFS(Log!$A$2:$A$5000,$A58,Log!$F$2:$F$5000,"*→ "&amp;L$1&amp;"*"))</f>
        <v/>
      </c>
      <c r="M58" s="8">
        <f>IF($A58="","",COUNTIFS(Log!$A$2:$A$5000,$A58,Log!$F$2:$F$5000,"*→ "&amp;M$1&amp;"*"))</f>
        <v/>
      </c>
      <c r="N58" s="8">
        <f>IF($A58="","",COUNTIFS(Log!$A$2:$A$5000,$A58,Log!$F$2:$F$5000,"*→ "&amp;N$1&amp;"*"))</f>
        <v/>
      </c>
      <c r="O58" s="8">
        <f>IF($A58="","",COUNTIFS(Log!$A$2:$A$5000,$A58,Log!$F$2:$F$5000,"*→ "&amp;O$1&amp;"*"))</f>
        <v/>
      </c>
      <c r="P58" s="8">
        <f>IF($A58="","",COUNTIFS(Log!$A$2:$A$5000,$A58,Log!$F$2:$F$5000,"*→ "&amp;P$1&amp;"*"))</f>
        <v/>
      </c>
      <c r="Q58" s="8">
        <f>IF($A58="","",COUNTIFS(Log!$A$2:$A$5000,$A58,Log!$F$2:$F$5000,"*→ "&amp;Q$1&amp;"*"))</f>
        <v/>
      </c>
      <c r="R58" s="8">
        <f>IF($A58="","",COUNTIFS(Log!$A$2:$A$5000,$A58,Log!$F$2:$F$5000,"*→ "&amp;R$1&amp;"*"))</f>
        <v/>
      </c>
    </row>
    <row r="59">
      <c r="A59" s="8">
        <f>IF(Students!A59="","",Students!A59)</f>
        <v/>
      </c>
      <c r="B59" s="8">
        <f>IF($A59="","",COUNTIFS(Log!$A$2:$A$5000,$A59,Log!$F$2:$F$5000,"*→ "&amp;B$1&amp;"*"))</f>
        <v/>
      </c>
      <c r="C59" s="8">
        <f>IF($A59="","",COUNTIFS(Log!$A$2:$A$5000,$A59,Log!$F$2:$F$5000,"*→ "&amp;C$1&amp;"*"))</f>
        <v/>
      </c>
      <c r="D59" s="8">
        <f>IF($A59="","",COUNTIFS(Log!$A$2:$A$5000,$A59,Log!$F$2:$F$5000,"*→ "&amp;D$1&amp;"*"))</f>
        <v/>
      </c>
      <c r="E59" s="8">
        <f>IF($A59="","",COUNTIFS(Log!$A$2:$A$5000,$A59,Log!$F$2:$F$5000,"*→ "&amp;E$1&amp;"*"))</f>
        <v/>
      </c>
      <c r="F59" s="8">
        <f>IF($A59="","",COUNTIFS(Log!$A$2:$A$5000,$A59,Log!$F$2:$F$5000,"*→ "&amp;F$1&amp;"*"))</f>
        <v/>
      </c>
      <c r="G59" s="8">
        <f>IF($A59="","",COUNTIFS(Log!$A$2:$A$5000,$A59,Log!$F$2:$F$5000,"*→ "&amp;G$1&amp;"*"))</f>
        <v/>
      </c>
      <c r="H59" s="8">
        <f>IF($A59="","",COUNTIFS(Log!$A$2:$A$5000,$A59,Log!$F$2:$F$5000,"*→ "&amp;H$1&amp;"*"))</f>
        <v/>
      </c>
      <c r="I59" s="8">
        <f>IF($A59="","",COUNTIFS(Log!$A$2:$A$5000,$A59,Log!$F$2:$F$5000,"*→ "&amp;I$1&amp;"*"))</f>
        <v/>
      </c>
      <c r="J59" s="8">
        <f>IF($A59="","",COUNTIFS(Log!$A$2:$A$5000,$A59,Log!$F$2:$F$5000,"*→ "&amp;J$1&amp;"*"))</f>
        <v/>
      </c>
      <c r="K59" s="8">
        <f>IF($A59="","",COUNTIFS(Log!$A$2:$A$5000,$A59,Log!$F$2:$F$5000,"*→ "&amp;K$1&amp;"*"))</f>
        <v/>
      </c>
      <c r="L59" s="8">
        <f>IF($A59="","",COUNTIFS(Log!$A$2:$A$5000,$A59,Log!$F$2:$F$5000,"*→ "&amp;L$1&amp;"*"))</f>
        <v/>
      </c>
      <c r="M59" s="8">
        <f>IF($A59="","",COUNTIFS(Log!$A$2:$A$5000,$A59,Log!$F$2:$F$5000,"*→ "&amp;M$1&amp;"*"))</f>
        <v/>
      </c>
      <c r="N59" s="8">
        <f>IF($A59="","",COUNTIFS(Log!$A$2:$A$5000,$A59,Log!$F$2:$F$5000,"*→ "&amp;N$1&amp;"*"))</f>
        <v/>
      </c>
      <c r="O59" s="8">
        <f>IF($A59="","",COUNTIFS(Log!$A$2:$A$5000,$A59,Log!$F$2:$F$5000,"*→ "&amp;O$1&amp;"*"))</f>
        <v/>
      </c>
      <c r="P59" s="8">
        <f>IF($A59="","",COUNTIFS(Log!$A$2:$A$5000,$A59,Log!$F$2:$F$5000,"*→ "&amp;P$1&amp;"*"))</f>
        <v/>
      </c>
      <c r="Q59" s="8">
        <f>IF($A59="","",COUNTIFS(Log!$A$2:$A$5000,$A59,Log!$F$2:$F$5000,"*→ "&amp;Q$1&amp;"*"))</f>
        <v/>
      </c>
      <c r="R59" s="8">
        <f>IF($A59="","",COUNTIFS(Log!$A$2:$A$5000,$A59,Log!$F$2:$F$5000,"*→ "&amp;R$1&amp;"*"))</f>
        <v/>
      </c>
    </row>
    <row r="60">
      <c r="A60" s="8">
        <f>IF(Students!A60="","",Students!A60)</f>
        <v/>
      </c>
      <c r="B60" s="8">
        <f>IF($A60="","",COUNTIFS(Log!$A$2:$A$5000,$A60,Log!$F$2:$F$5000,"*→ "&amp;B$1&amp;"*"))</f>
        <v/>
      </c>
      <c r="C60" s="8">
        <f>IF($A60="","",COUNTIFS(Log!$A$2:$A$5000,$A60,Log!$F$2:$F$5000,"*→ "&amp;C$1&amp;"*"))</f>
        <v/>
      </c>
      <c r="D60" s="8">
        <f>IF($A60="","",COUNTIFS(Log!$A$2:$A$5000,$A60,Log!$F$2:$F$5000,"*→ "&amp;D$1&amp;"*"))</f>
        <v/>
      </c>
      <c r="E60" s="8">
        <f>IF($A60="","",COUNTIFS(Log!$A$2:$A$5000,$A60,Log!$F$2:$F$5000,"*→ "&amp;E$1&amp;"*"))</f>
        <v/>
      </c>
      <c r="F60" s="8">
        <f>IF($A60="","",COUNTIFS(Log!$A$2:$A$5000,$A60,Log!$F$2:$F$5000,"*→ "&amp;F$1&amp;"*"))</f>
        <v/>
      </c>
      <c r="G60" s="8">
        <f>IF($A60="","",COUNTIFS(Log!$A$2:$A$5000,$A60,Log!$F$2:$F$5000,"*→ "&amp;G$1&amp;"*"))</f>
        <v/>
      </c>
      <c r="H60" s="8">
        <f>IF($A60="","",COUNTIFS(Log!$A$2:$A$5000,$A60,Log!$F$2:$F$5000,"*→ "&amp;H$1&amp;"*"))</f>
        <v/>
      </c>
      <c r="I60" s="8">
        <f>IF($A60="","",COUNTIFS(Log!$A$2:$A$5000,$A60,Log!$F$2:$F$5000,"*→ "&amp;I$1&amp;"*"))</f>
        <v/>
      </c>
      <c r="J60" s="8">
        <f>IF($A60="","",COUNTIFS(Log!$A$2:$A$5000,$A60,Log!$F$2:$F$5000,"*→ "&amp;J$1&amp;"*"))</f>
        <v/>
      </c>
      <c r="K60" s="8">
        <f>IF($A60="","",COUNTIFS(Log!$A$2:$A$5000,$A60,Log!$F$2:$F$5000,"*→ "&amp;K$1&amp;"*"))</f>
        <v/>
      </c>
      <c r="L60" s="8">
        <f>IF($A60="","",COUNTIFS(Log!$A$2:$A$5000,$A60,Log!$F$2:$F$5000,"*→ "&amp;L$1&amp;"*"))</f>
        <v/>
      </c>
      <c r="M60" s="8">
        <f>IF($A60="","",COUNTIFS(Log!$A$2:$A$5000,$A60,Log!$F$2:$F$5000,"*→ "&amp;M$1&amp;"*"))</f>
        <v/>
      </c>
      <c r="N60" s="8">
        <f>IF($A60="","",COUNTIFS(Log!$A$2:$A$5000,$A60,Log!$F$2:$F$5000,"*→ "&amp;N$1&amp;"*"))</f>
        <v/>
      </c>
      <c r="O60" s="8">
        <f>IF($A60="","",COUNTIFS(Log!$A$2:$A$5000,$A60,Log!$F$2:$F$5000,"*→ "&amp;O$1&amp;"*"))</f>
        <v/>
      </c>
      <c r="P60" s="8">
        <f>IF($A60="","",COUNTIFS(Log!$A$2:$A$5000,$A60,Log!$F$2:$F$5000,"*→ "&amp;P$1&amp;"*"))</f>
        <v/>
      </c>
      <c r="Q60" s="8">
        <f>IF($A60="","",COUNTIFS(Log!$A$2:$A$5000,$A60,Log!$F$2:$F$5000,"*→ "&amp;Q$1&amp;"*"))</f>
        <v/>
      </c>
      <c r="R60" s="8">
        <f>IF($A60="","",COUNTIFS(Log!$A$2:$A$5000,$A60,Log!$F$2:$F$5000,"*→ "&amp;R$1&amp;"*"))</f>
        <v/>
      </c>
    </row>
    <row r="61">
      <c r="A61">
        <f>IF(Students!A61="","",Students!A61)</f>
        <v/>
      </c>
      <c r="B61">
        <f>IF($A61="","",COUNTIFS(Log!$A$2:$A$5000,$A61,Log!$F$2:$F$5000,"*→ "&amp;B$1&amp;"*"))</f>
        <v/>
      </c>
      <c r="C61">
        <f>IF($A61="","",COUNTIFS(Log!$A$2:$A$5000,$A61,Log!$F$2:$F$5000,"*→ "&amp;C$1&amp;"*"))</f>
        <v/>
      </c>
      <c r="D61">
        <f>IF($A61="","",COUNTIFS(Log!$A$2:$A$5000,$A61,Log!$F$2:$F$5000,"*→ "&amp;D$1&amp;"*"))</f>
        <v/>
      </c>
      <c r="E61">
        <f>IF($A61="","",COUNTIFS(Log!$A$2:$A$5000,$A61,Log!$F$2:$F$5000,"*→ "&amp;E$1&amp;"*"))</f>
        <v/>
      </c>
      <c r="F61">
        <f>IF($A61="","",COUNTIFS(Log!$A$2:$A$5000,$A61,Log!$F$2:$F$5000,"*→ "&amp;F$1&amp;"*"))</f>
        <v/>
      </c>
      <c r="G61">
        <f>IF($A61="","",COUNTIFS(Log!$A$2:$A$5000,$A61,Log!$F$2:$F$5000,"*→ "&amp;G$1&amp;"*"))</f>
        <v/>
      </c>
      <c r="H61">
        <f>IF($A61="","",COUNTIFS(Log!$A$2:$A$5000,$A61,Log!$F$2:$F$5000,"*→ "&amp;H$1&amp;"*"))</f>
        <v/>
      </c>
      <c r="I61">
        <f>IF($A61="","",COUNTIFS(Log!$A$2:$A$5000,$A61,Log!$F$2:$F$5000,"*→ "&amp;I$1&amp;"*"))</f>
        <v/>
      </c>
      <c r="J61">
        <f>IF($A61="","",COUNTIFS(Log!$A$2:$A$5000,$A61,Log!$F$2:$F$5000,"*→ "&amp;J$1&amp;"*"))</f>
        <v/>
      </c>
      <c r="K61">
        <f>IF($A61="","",COUNTIFS(Log!$A$2:$A$5000,$A61,Log!$F$2:$F$5000,"*→ "&amp;K$1&amp;"*"))</f>
        <v/>
      </c>
      <c r="L61">
        <f>IF($A61="","",COUNTIFS(Log!$A$2:$A$5000,$A61,Log!$F$2:$F$5000,"*→ "&amp;L$1&amp;"*"))</f>
        <v/>
      </c>
      <c r="M61">
        <f>IF($A61="","",COUNTIFS(Log!$A$2:$A$5000,$A61,Log!$F$2:$F$5000,"*→ "&amp;M$1&amp;"*"))</f>
        <v/>
      </c>
      <c r="N61">
        <f>IF($A61="","",COUNTIFS(Log!$A$2:$A$5000,$A61,Log!$F$2:$F$5000,"*→ "&amp;N$1&amp;"*"))</f>
        <v/>
      </c>
      <c r="O61">
        <f>IF($A61="","",COUNTIFS(Log!$A$2:$A$5000,$A61,Log!$F$2:$F$5000,"*→ "&amp;O$1&amp;"*"))</f>
        <v/>
      </c>
      <c r="P61">
        <f>IF($A61="","",COUNTIFS(Log!$A$2:$A$5000,$A61,Log!$F$2:$F$5000,"*→ "&amp;P$1&amp;"*"))</f>
        <v/>
      </c>
      <c r="Q61">
        <f>IF($A61="","",COUNTIFS(Log!$A$2:$A$5000,$A61,Log!$F$2:$F$5000,"*→ "&amp;Q$1&amp;"*"))</f>
        <v/>
      </c>
      <c r="R61">
        <f>IF($A61="","",COUNTIFS(Log!$A$2:$A$5000,$A61,Log!$F$2:$F$5000,"*→ "&amp;R$1&amp;"*"))</f>
        <v/>
      </c>
    </row>
    <row r="62">
      <c r="A62">
        <f>IF(Students!A62="","",Students!A62)</f>
        <v/>
      </c>
      <c r="B62">
        <f>IF($A62="","",COUNTIFS(Log!$A$2:$A$5000,$A62,Log!$F$2:$F$5000,"*→ "&amp;B$1&amp;"*"))</f>
        <v/>
      </c>
      <c r="C62">
        <f>IF($A62="","",COUNTIFS(Log!$A$2:$A$5000,$A62,Log!$F$2:$F$5000,"*→ "&amp;C$1&amp;"*"))</f>
        <v/>
      </c>
      <c r="D62">
        <f>IF($A62="","",COUNTIFS(Log!$A$2:$A$5000,$A62,Log!$F$2:$F$5000,"*→ "&amp;D$1&amp;"*"))</f>
        <v/>
      </c>
      <c r="E62">
        <f>IF($A62="","",COUNTIFS(Log!$A$2:$A$5000,$A62,Log!$F$2:$F$5000,"*→ "&amp;E$1&amp;"*"))</f>
        <v/>
      </c>
      <c r="F62">
        <f>IF($A62="","",COUNTIFS(Log!$A$2:$A$5000,$A62,Log!$F$2:$F$5000,"*→ "&amp;F$1&amp;"*"))</f>
        <v/>
      </c>
      <c r="G62">
        <f>IF($A62="","",COUNTIFS(Log!$A$2:$A$5000,$A62,Log!$F$2:$F$5000,"*→ "&amp;G$1&amp;"*"))</f>
        <v/>
      </c>
      <c r="H62">
        <f>IF($A62="","",COUNTIFS(Log!$A$2:$A$5000,$A62,Log!$F$2:$F$5000,"*→ "&amp;H$1&amp;"*"))</f>
        <v/>
      </c>
      <c r="I62">
        <f>IF($A62="","",COUNTIFS(Log!$A$2:$A$5000,$A62,Log!$F$2:$F$5000,"*→ "&amp;I$1&amp;"*"))</f>
        <v/>
      </c>
      <c r="J62">
        <f>IF($A62="","",COUNTIFS(Log!$A$2:$A$5000,$A62,Log!$F$2:$F$5000,"*→ "&amp;J$1&amp;"*"))</f>
        <v/>
      </c>
      <c r="K62">
        <f>IF($A62="","",COUNTIFS(Log!$A$2:$A$5000,$A62,Log!$F$2:$F$5000,"*→ "&amp;K$1&amp;"*"))</f>
        <v/>
      </c>
      <c r="L62">
        <f>IF($A62="","",COUNTIFS(Log!$A$2:$A$5000,$A62,Log!$F$2:$F$5000,"*→ "&amp;L$1&amp;"*"))</f>
        <v/>
      </c>
      <c r="M62">
        <f>IF($A62="","",COUNTIFS(Log!$A$2:$A$5000,$A62,Log!$F$2:$F$5000,"*→ "&amp;M$1&amp;"*"))</f>
        <v/>
      </c>
      <c r="N62">
        <f>IF($A62="","",COUNTIFS(Log!$A$2:$A$5000,$A62,Log!$F$2:$F$5000,"*→ "&amp;N$1&amp;"*"))</f>
        <v/>
      </c>
      <c r="O62">
        <f>IF($A62="","",COUNTIFS(Log!$A$2:$A$5000,$A62,Log!$F$2:$F$5000,"*→ "&amp;O$1&amp;"*"))</f>
        <v/>
      </c>
      <c r="P62">
        <f>IF($A62="","",COUNTIFS(Log!$A$2:$A$5000,$A62,Log!$F$2:$F$5000,"*→ "&amp;P$1&amp;"*"))</f>
        <v/>
      </c>
      <c r="Q62">
        <f>IF($A62="","",COUNTIFS(Log!$A$2:$A$5000,$A62,Log!$F$2:$F$5000,"*→ "&amp;Q$1&amp;"*"))</f>
        <v/>
      </c>
      <c r="R62">
        <f>IF($A62="","",COUNTIFS(Log!$A$2:$A$5000,$A62,Log!$F$2:$F$5000,"*→ "&amp;R$1&amp;"*"))</f>
        <v/>
      </c>
    </row>
    <row r="63">
      <c r="A63">
        <f>IF(Students!A63="","",Students!A63)</f>
        <v/>
      </c>
      <c r="B63">
        <f>IF($A63="","",COUNTIFS(Log!$A$2:$A$5000,$A63,Log!$F$2:$F$5000,"*→ "&amp;B$1&amp;"*"))</f>
        <v/>
      </c>
      <c r="C63">
        <f>IF($A63="","",COUNTIFS(Log!$A$2:$A$5000,$A63,Log!$F$2:$F$5000,"*→ "&amp;C$1&amp;"*"))</f>
        <v/>
      </c>
      <c r="D63">
        <f>IF($A63="","",COUNTIFS(Log!$A$2:$A$5000,$A63,Log!$F$2:$F$5000,"*→ "&amp;D$1&amp;"*"))</f>
        <v/>
      </c>
      <c r="E63">
        <f>IF($A63="","",COUNTIFS(Log!$A$2:$A$5000,$A63,Log!$F$2:$F$5000,"*→ "&amp;E$1&amp;"*"))</f>
        <v/>
      </c>
      <c r="F63">
        <f>IF($A63="","",COUNTIFS(Log!$A$2:$A$5000,$A63,Log!$F$2:$F$5000,"*→ "&amp;F$1&amp;"*"))</f>
        <v/>
      </c>
      <c r="G63">
        <f>IF($A63="","",COUNTIFS(Log!$A$2:$A$5000,$A63,Log!$F$2:$F$5000,"*→ "&amp;G$1&amp;"*"))</f>
        <v/>
      </c>
      <c r="H63">
        <f>IF($A63="","",COUNTIFS(Log!$A$2:$A$5000,$A63,Log!$F$2:$F$5000,"*→ "&amp;H$1&amp;"*"))</f>
        <v/>
      </c>
      <c r="I63">
        <f>IF($A63="","",COUNTIFS(Log!$A$2:$A$5000,$A63,Log!$F$2:$F$5000,"*→ "&amp;I$1&amp;"*"))</f>
        <v/>
      </c>
      <c r="J63">
        <f>IF($A63="","",COUNTIFS(Log!$A$2:$A$5000,$A63,Log!$F$2:$F$5000,"*→ "&amp;J$1&amp;"*"))</f>
        <v/>
      </c>
      <c r="K63">
        <f>IF($A63="","",COUNTIFS(Log!$A$2:$A$5000,$A63,Log!$F$2:$F$5000,"*→ "&amp;K$1&amp;"*"))</f>
        <v/>
      </c>
      <c r="L63">
        <f>IF($A63="","",COUNTIFS(Log!$A$2:$A$5000,$A63,Log!$F$2:$F$5000,"*→ "&amp;L$1&amp;"*"))</f>
        <v/>
      </c>
      <c r="M63">
        <f>IF($A63="","",COUNTIFS(Log!$A$2:$A$5000,$A63,Log!$F$2:$F$5000,"*→ "&amp;M$1&amp;"*"))</f>
        <v/>
      </c>
      <c r="N63">
        <f>IF($A63="","",COUNTIFS(Log!$A$2:$A$5000,$A63,Log!$F$2:$F$5000,"*→ "&amp;N$1&amp;"*"))</f>
        <v/>
      </c>
      <c r="O63">
        <f>IF($A63="","",COUNTIFS(Log!$A$2:$A$5000,$A63,Log!$F$2:$F$5000,"*→ "&amp;O$1&amp;"*"))</f>
        <v/>
      </c>
      <c r="P63">
        <f>IF($A63="","",COUNTIFS(Log!$A$2:$A$5000,$A63,Log!$F$2:$F$5000,"*→ "&amp;P$1&amp;"*"))</f>
        <v/>
      </c>
      <c r="Q63">
        <f>IF($A63="","",COUNTIFS(Log!$A$2:$A$5000,$A63,Log!$F$2:$F$5000,"*→ "&amp;Q$1&amp;"*"))</f>
        <v/>
      </c>
      <c r="R63">
        <f>IF($A63="","",COUNTIFS(Log!$A$2:$A$5000,$A63,Log!$F$2:$F$5000,"*→ "&amp;R$1&amp;"*"))</f>
        <v/>
      </c>
    </row>
    <row r="64">
      <c r="A64">
        <f>IF(Students!A64="","",Students!A64)</f>
        <v/>
      </c>
      <c r="B64">
        <f>IF($A64="","",COUNTIFS(Log!$A$2:$A$5000,$A64,Log!$F$2:$F$5000,"*→ "&amp;B$1&amp;"*"))</f>
        <v/>
      </c>
      <c r="C64">
        <f>IF($A64="","",COUNTIFS(Log!$A$2:$A$5000,$A64,Log!$F$2:$F$5000,"*→ "&amp;C$1&amp;"*"))</f>
        <v/>
      </c>
      <c r="D64">
        <f>IF($A64="","",COUNTIFS(Log!$A$2:$A$5000,$A64,Log!$F$2:$F$5000,"*→ "&amp;D$1&amp;"*"))</f>
        <v/>
      </c>
      <c r="E64">
        <f>IF($A64="","",COUNTIFS(Log!$A$2:$A$5000,$A64,Log!$F$2:$F$5000,"*→ "&amp;E$1&amp;"*"))</f>
        <v/>
      </c>
      <c r="F64">
        <f>IF($A64="","",COUNTIFS(Log!$A$2:$A$5000,$A64,Log!$F$2:$F$5000,"*→ "&amp;F$1&amp;"*"))</f>
        <v/>
      </c>
      <c r="G64">
        <f>IF($A64="","",COUNTIFS(Log!$A$2:$A$5000,$A64,Log!$F$2:$F$5000,"*→ "&amp;G$1&amp;"*"))</f>
        <v/>
      </c>
      <c r="H64">
        <f>IF($A64="","",COUNTIFS(Log!$A$2:$A$5000,$A64,Log!$F$2:$F$5000,"*→ "&amp;H$1&amp;"*"))</f>
        <v/>
      </c>
      <c r="I64">
        <f>IF($A64="","",COUNTIFS(Log!$A$2:$A$5000,$A64,Log!$F$2:$F$5000,"*→ "&amp;I$1&amp;"*"))</f>
        <v/>
      </c>
      <c r="J64">
        <f>IF($A64="","",COUNTIFS(Log!$A$2:$A$5000,$A64,Log!$F$2:$F$5000,"*→ "&amp;J$1&amp;"*"))</f>
        <v/>
      </c>
      <c r="K64">
        <f>IF($A64="","",COUNTIFS(Log!$A$2:$A$5000,$A64,Log!$F$2:$F$5000,"*→ "&amp;K$1&amp;"*"))</f>
        <v/>
      </c>
      <c r="L64">
        <f>IF($A64="","",COUNTIFS(Log!$A$2:$A$5000,$A64,Log!$F$2:$F$5000,"*→ "&amp;L$1&amp;"*"))</f>
        <v/>
      </c>
      <c r="M64">
        <f>IF($A64="","",COUNTIFS(Log!$A$2:$A$5000,$A64,Log!$F$2:$F$5000,"*→ "&amp;M$1&amp;"*"))</f>
        <v/>
      </c>
      <c r="N64">
        <f>IF($A64="","",COUNTIFS(Log!$A$2:$A$5000,$A64,Log!$F$2:$F$5000,"*→ "&amp;N$1&amp;"*"))</f>
        <v/>
      </c>
      <c r="O64">
        <f>IF($A64="","",COUNTIFS(Log!$A$2:$A$5000,$A64,Log!$F$2:$F$5000,"*→ "&amp;O$1&amp;"*"))</f>
        <v/>
      </c>
      <c r="P64">
        <f>IF($A64="","",COUNTIFS(Log!$A$2:$A$5000,$A64,Log!$F$2:$F$5000,"*→ "&amp;P$1&amp;"*"))</f>
        <v/>
      </c>
      <c r="Q64">
        <f>IF($A64="","",COUNTIFS(Log!$A$2:$A$5000,$A64,Log!$F$2:$F$5000,"*→ "&amp;Q$1&amp;"*"))</f>
        <v/>
      </c>
      <c r="R64">
        <f>IF($A64="","",COUNTIFS(Log!$A$2:$A$5000,$A64,Log!$F$2:$F$5000,"*→ "&amp;R$1&amp;"*"))</f>
        <v/>
      </c>
    </row>
    <row r="65">
      <c r="A65">
        <f>IF(Students!A65="","",Students!A65)</f>
        <v/>
      </c>
      <c r="B65">
        <f>IF($A65="","",COUNTIFS(Log!$A$2:$A$5000,$A65,Log!$F$2:$F$5000,"*→ "&amp;B$1&amp;"*"))</f>
        <v/>
      </c>
      <c r="C65">
        <f>IF($A65="","",COUNTIFS(Log!$A$2:$A$5000,$A65,Log!$F$2:$F$5000,"*→ "&amp;C$1&amp;"*"))</f>
        <v/>
      </c>
      <c r="D65">
        <f>IF($A65="","",COUNTIFS(Log!$A$2:$A$5000,$A65,Log!$F$2:$F$5000,"*→ "&amp;D$1&amp;"*"))</f>
        <v/>
      </c>
      <c r="E65">
        <f>IF($A65="","",COUNTIFS(Log!$A$2:$A$5000,$A65,Log!$F$2:$F$5000,"*→ "&amp;E$1&amp;"*"))</f>
        <v/>
      </c>
      <c r="F65">
        <f>IF($A65="","",COUNTIFS(Log!$A$2:$A$5000,$A65,Log!$F$2:$F$5000,"*→ "&amp;F$1&amp;"*"))</f>
        <v/>
      </c>
      <c r="G65">
        <f>IF($A65="","",COUNTIFS(Log!$A$2:$A$5000,$A65,Log!$F$2:$F$5000,"*→ "&amp;G$1&amp;"*"))</f>
        <v/>
      </c>
      <c r="H65">
        <f>IF($A65="","",COUNTIFS(Log!$A$2:$A$5000,$A65,Log!$F$2:$F$5000,"*→ "&amp;H$1&amp;"*"))</f>
        <v/>
      </c>
      <c r="I65">
        <f>IF($A65="","",COUNTIFS(Log!$A$2:$A$5000,$A65,Log!$F$2:$F$5000,"*→ "&amp;I$1&amp;"*"))</f>
        <v/>
      </c>
      <c r="J65">
        <f>IF($A65="","",COUNTIFS(Log!$A$2:$A$5000,$A65,Log!$F$2:$F$5000,"*→ "&amp;J$1&amp;"*"))</f>
        <v/>
      </c>
      <c r="K65">
        <f>IF($A65="","",COUNTIFS(Log!$A$2:$A$5000,$A65,Log!$F$2:$F$5000,"*→ "&amp;K$1&amp;"*"))</f>
        <v/>
      </c>
      <c r="L65">
        <f>IF($A65="","",COUNTIFS(Log!$A$2:$A$5000,$A65,Log!$F$2:$F$5000,"*→ "&amp;L$1&amp;"*"))</f>
        <v/>
      </c>
      <c r="M65">
        <f>IF($A65="","",COUNTIFS(Log!$A$2:$A$5000,$A65,Log!$F$2:$F$5000,"*→ "&amp;M$1&amp;"*"))</f>
        <v/>
      </c>
      <c r="N65">
        <f>IF($A65="","",COUNTIFS(Log!$A$2:$A$5000,$A65,Log!$F$2:$F$5000,"*→ "&amp;N$1&amp;"*"))</f>
        <v/>
      </c>
      <c r="O65">
        <f>IF($A65="","",COUNTIFS(Log!$A$2:$A$5000,$A65,Log!$F$2:$F$5000,"*→ "&amp;O$1&amp;"*"))</f>
        <v/>
      </c>
      <c r="P65">
        <f>IF($A65="","",COUNTIFS(Log!$A$2:$A$5000,$A65,Log!$F$2:$F$5000,"*→ "&amp;P$1&amp;"*"))</f>
        <v/>
      </c>
      <c r="Q65">
        <f>IF($A65="","",COUNTIFS(Log!$A$2:$A$5000,$A65,Log!$F$2:$F$5000,"*→ "&amp;Q$1&amp;"*"))</f>
        <v/>
      </c>
      <c r="R65">
        <f>IF($A65="","",COUNTIFS(Log!$A$2:$A$5000,$A65,Log!$F$2:$F$5000,"*→ "&amp;R$1&amp;"*"))</f>
        <v/>
      </c>
    </row>
    <row r="66">
      <c r="A66">
        <f>IF(Students!A66="","",Students!A66)</f>
        <v/>
      </c>
      <c r="B66">
        <f>IF($A66="","",COUNTIFS(Log!$A$2:$A$5000,$A66,Log!$F$2:$F$5000,"*→ "&amp;B$1&amp;"*"))</f>
        <v/>
      </c>
      <c r="C66">
        <f>IF($A66="","",COUNTIFS(Log!$A$2:$A$5000,$A66,Log!$F$2:$F$5000,"*→ "&amp;C$1&amp;"*"))</f>
        <v/>
      </c>
      <c r="D66">
        <f>IF($A66="","",COUNTIFS(Log!$A$2:$A$5000,$A66,Log!$F$2:$F$5000,"*→ "&amp;D$1&amp;"*"))</f>
        <v/>
      </c>
      <c r="E66">
        <f>IF($A66="","",COUNTIFS(Log!$A$2:$A$5000,$A66,Log!$F$2:$F$5000,"*→ "&amp;E$1&amp;"*"))</f>
        <v/>
      </c>
      <c r="F66">
        <f>IF($A66="","",COUNTIFS(Log!$A$2:$A$5000,$A66,Log!$F$2:$F$5000,"*→ "&amp;F$1&amp;"*"))</f>
        <v/>
      </c>
      <c r="G66">
        <f>IF($A66="","",COUNTIFS(Log!$A$2:$A$5000,$A66,Log!$F$2:$F$5000,"*→ "&amp;G$1&amp;"*"))</f>
        <v/>
      </c>
      <c r="H66">
        <f>IF($A66="","",COUNTIFS(Log!$A$2:$A$5000,$A66,Log!$F$2:$F$5000,"*→ "&amp;H$1&amp;"*"))</f>
        <v/>
      </c>
      <c r="I66">
        <f>IF($A66="","",COUNTIFS(Log!$A$2:$A$5000,$A66,Log!$F$2:$F$5000,"*→ "&amp;I$1&amp;"*"))</f>
        <v/>
      </c>
      <c r="J66">
        <f>IF($A66="","",COUNTIFS(Log!$A$2:$A$5000,$A66,Log!$F$2:$F$5000,"*→ "&amp;J$1&amp;"*"))</f>
        <v/>
      </c>
      <c r="K66">
        <f>IF($A66="","",COUNTIFS(Log!$A$2:$A$5000,$A66,Log!$F$2:$F$5000,"*→ "&amp;K$1&amp;"*"))</f>
        <v/>
      </c>
      <c r="L66">
        <f>IF($A66="","",COUNTIFS(Log!$A$2:$A$5000,$A66,Log!$F$2:$F$5000,"*→ "&amp;L$1&amp;"*"))</f>
        <v/>
      </c>
      <c r="M66">
        <f>IF($A66="","",COUNTIFS(Log!$A$2:$A$5000,$A66,Log!$F$2:$F$5000,"*→ "&amp;M$1&amp;"*"))</f>
        <v/>
      </c>
      <c r="N66">
        <f>IF($A66="","",COUNTIFS(Log!$A$2:$A$5000,$A66,Log!$F$2:$F$5000,"*→ "&amp;N$1&amp;"*"))</f>
        <v/>
      </c>
      <c r="O66">
        <f>IF($A66="","",COUNTIFS(Log!$A$2:$A$5000,$A66,Log!$F$2:$F$5000,"*→ "&amp;O$1&amp;"*"))</f>
        <v/>
      </c>
      <c r="P66">
        <f>IF($A66="","",COUNTIFS(Log!$A$2:$A$5000,$A66,Log!$F$2:$F$5000,"*→ "&amp;P$1&amp;"*"))</f>
        <v/>
      </c>
      <c r="Q66">
        <f>IF($A66="","",COUNTIFS(Log!$A$2:$A$5000,$A66,Log!$F$2:$F$5000,"*→ "&amp;Q$1&amp;"*"))</f>
        <v/>
      </c>
      <c r="R66">
        <f>IF($A66="","",COUNTIFS(Log!$A$2:$A$5000,$A66,Log!$F$2:$F$5000,"*→ "&amp;R$1&amp;"*"))</f>
        <v/>
      </c>
    </row>
    <row r="67">
      <c r="A67">
        <f>IF(Students!A67="","",Students!A67)</f>
        <v/>
      </c>
      <c r="B67">
        <f>IF($A67="","",COUNTIFS(Log!$A$2:$A$5000,$A67,Log!$F$2:$F$5000,"*→ "&amp;B$1&amp;"*"))</f>
        <v/>
      </c>
      <c r="C67">
        <f>IF($A67="","",COUNTIFS(Log!$A$2:$A$5000,$A67,Log!$F$2:$F$5000,"*→ "&amp;C$1&amp;"*"))</f>
        <v/>
      </c>
      <c r="D67">
        <f>IF($A67="","",COUNTIFS(Log!$A$2:$A$5000,$A67,Log!$F$2:$F$5000,"*→ "&amp;D$1&amp;"*"))</f>
        <v/>
      </c>
      <c r="E67">
        <f>IF($A67="","",COUNTIFS(Log!$A$2:$A$5000,$A67,Log!$F$2:$F$5000,"*→ "&amp;E$1&amp;"*"))</f>
        <v/>
      </c>
      <c r="F67">
        <f>IF($A67="","",COUNTIFS(Log!$A$2:$A$5000,$A67,Log!$F$2:$F$5000,"*→ "&amp;F$1&amp;"*"))</f>
        <v/>
      </c>
      <c r="G67">
        <f>IF($A67="","",COUNTIFS(Log!$A$2:$A$5000,$A67,Log!$F$2:$F$5000,"*→ "&amp;G$1&amp;"*"))</f>
        <v/>
      </c>
      <c r="H67">
        <f>IF($A67="","",COUNTIFS(Log!$A$2:$A$5000,$A67,Log!$F$2:$F$5000,"*→ "&amp;H$1&amp;"*"))</f>
        <v/>
      </c>
      <c r="I67">
        <f>IF($A67="","",COUNTIFS(Log!$A$2:$A$5000,$A67,Log!$F$2:$F$5000,"*→ "&amp;I$1&amp;"*"))</f>
        <v/>
      </c>
      <c r="J67">
        <f>IF($A67="","",COUNTIFS(Log!$A$2:$A$5000,$A67,Log!$F$2:$F$5000,"*→ "&amp;J$1&amp;"*"))</f>
        <v/>
      </c>
      <c r="K67">
        <f>IF($A67="","",COUNTIFS(Log!$A$2:$A$5000,$A67,Log!$F$2:$F$5000,"*→ "&amp;K$1&amp;"*"))</f>
        <v/>
      </c>
      <c r="L67">
        <f>IF($A67="","",COUNTIFS(Log!$A$2:$A$5000,$A67,Log!$F$2:$F$5000,"*→ "&amp;L$1&amp;"*"))</f>
        <v/>
      </c>
      <c r="M67">
        <f>IF($A67="","",COUNTIFS(Log!$A$2:$A$5000,$A67,Log!$F$2:$F$5000,"*→ "&amp;M$1&amp;"*"))</f>
        <v/>
      </c>
      <c r="N67">
        <f>IF($A67="","",COUNTIFS(Log!$A$2:$A$5000,$A67,Log!$F$2:$F$5000,"*→ "&amp;N$1&amp;"*"))</f>
        <v/>
      </c>
      <c r="O67">
        <f>IF($A67="","",COUNTIFS(Log!$A$2:$A$5000,$A67,Log!$F$2:$F$5000,"*→ "&amp;O$1&amp;"*"))</f>
        <v/>
      </c>
      <c r="P67">
        <f>IF($A67="","",COUNTIFS(Log!$A$2:$A$5000,$A67,Log!$F$2:$F$5000,"*→ "&amp;P$1&amp;"*"))</f>
        <v/>
      </c>
      <c r="Q67">
        <f>IF($A67="","",COUNTIFS(Log!$A$2:$A$5000,$A67,Log!$F$2:$F$5000,"*→ "&amp;Q$1&amp;"*"))</f>
        <v/>
      </c>
      <c r="R67">
        <f>IF($A67="","",COUNTIFS(Log!$A$2:$A$5000,$A67,Log!$F$2:$F$5000,"*→ "&amp;R$1&amp;"*"))</f>
        <v/>
      </c>
    </row>
    <row r="68">
      <c r="A68">
        <f>IF(Students!A68="","",Students!A68)</f>
        <v/>
      </c>
      <c r="B68">
        <f>IF($A68="","",COUNTIFS(Log!$A$2:$A$5000,$A68,Log!$F$2:$F$5000,"*→ "&amp;B$1&amp;"*"))</f>
        <v/>
      </c>
      <c r="C68">
        <f>IF($A68="","",COUNTIFS(Log!$A$2:$A$5000,$A68,Log!$F$2:$F$5000,"*→ "&amp;C$1&amp;"*"))</f>
        <v/>
      </c>
      <c r="D68">
        <f>IF($A68="","",COUNTIFS(Log!$A$2:$A$5000,$A68,Log!$F$2:$F$5000,"*→ "&amp;D$1&amp;"*"))</f>
        <v/>
      </c>
      <c r="E68">
        <f>IF($A68="","",COUNTIFS(Log!$A$2:$A$5000,$A68,Log!$F$2:$F$5000,"*→ "&amp;E$1&amp;"*"))</f>
        <v/>
      </c>
      <c r="F68">
        <f>IF($A68="","",COUNTIFS(Log!$A$2:$A$5000,$A68,Log!$F$2:$F$5000,"*→ "&amp;F$1&amp;"*"))</f>
        <v/>
      </c>
      <c r="G68">
        <f>IF($A68="","",COUNTIFS(Log!$A$2:$A$5000,$A68,Log!$F$2:$F$5000,"*→ "&amp;G$1&amp;"*"))</f>
        <v/>
      </c>
      <c r="H68">
        <f>IF($A68="","",COUNTIFS(Log!$A$2:$A$5000,$A68,Log!$F$2:$F$5000,"*→ "&amp;H$1&amp;"*"))</f>
        <v/>
      </c>
      <c r="I68">
        <f>IF($A68="","",COUNTIFS(Log!$A$2:$A$5000,$A68,Log!$F$2:$F$5000,"*→ "&amp;I$1&amp;"*"))</f>
        <v/>
      </c>
      <c r="J68">
        <f>IF($A68="","",COUNTIFS(Log!$A$2:$A$5000,$A68,Log!$F$2:$F$5000,"*→ "&amp;J$1&amp;"*"))</f>
        <v/>
      </c>
      <c r="K68">
        <f>IF($A68="","",COUNTIFS(Log!$A$2:$A$5000,$A68,Log!$F$2:$F$5000,"*→ "&amp;K$1&amp;"*"))</f>
        <v/>
      </c>
      <c r="L68">
        <f>IF($A68="","",COUNTIFS(Log!$A$2:$A$5000,$A68,Log!$F$2:$F$5000,"*→ "&amp;L$1&amp;"*"))</f>
        <v/>
      </c>
      <c r="M68">
        <f>IF($A68="","",COUNTIFS(Log!$A$2:$A$5000,$A68,Log!$F$2:$F$5000,"*→ "&amp;M$1&amp;"*"))</f>
        <v/>
      </c>
      <c r="N68">
        <f>IF($A68="","",COUNTIFS(Log!$A$2:$A$5000,$A68,Log!$F$2:$F$5000,"*→ "&amp;N$1&amp;"*"))</f>
        <v/>
      </c>
      <c r="O68">
        <f>IF($A68="","",COUNTIFS(Log!$A$2:$A$5000,$A68,Log!$F$2:$F$5000,"*→ "&amp;O$1&amp;"*"))</f>
        <v/>
      </c>
      <c r="P68">
        <f>IF($A68="","",COUNTIFS(Log!$A$2:$A$5000,$A68,Log!$F$2:$F$5000,"*→ "&amp;P$1&amp;"*"))</f>
        <v/>
      </c>
      <c r="Q68">
        <f>IF($A68="","",COUNTIFS(Log!$A$2:$A$5000,$A68,Log!$F$2:$F$5000,"*→ "&amp;Q$1&amp;"*"))</f>
        <v/>
      </c>
      <c r="R68">
        <f>IF($A68="","",COUNTIFS(Log!$A$2:$A$5000,$A68,Log!$F$2:$F$5000,"*→ "&amp;R$1&amp;"*"))</f>
        <v/>
      </c>
    </row>
    <row r="69">
      <c r="A69">
        <f>IF(Students!A69="","",Students!A69)</f>
        <v/>
      </c>
      <c r="B69">
        <f>IF($A69="","",COUNTIFS(Log!$A$2:$A$5000,$A69,Log!$F$2:$F$5000,"*→ "&amp;B$1&amp;"*"))</f>
        <v/>
      </c>
      <c r="C69">
        <f>IF($A69="","",COUNTIFS(Log!$A$2:$A$5000,$A69,Log!$F$2:$F$5000,"*→ "&amp;C$1&amp;"*"))</f>
        <v/>
      </c>
      <c r="D69">
        <f>IF($A69="","",COUNTIFS(Log!$A$2:$A$5000,$A69,Log!$F$2:$F$5000,"*→ "&amp;D$1&amp;"*"))</f>
        <v/>
      </c>
      <c r="E69">
        <f>IF($A69="","",COUNTIFS(Log!$A$2:$A$5000,$A69,Log!$F$2:$F$5000,"*→ "&amp;E$1&amp;"*"))</f>
        <v/>
      </c>
      <c r="F69">
        <f>IF($A69="","",COUNTIFS(Log!$A$2:$A$5000,$A69,Log!$F$2:$F$5000,"*→ "&amp;F$1&amp;"*"))</f>
        <v/>
      </c>
      <c r="G69">
        <f>IF($A69="","",COUNTIFS(Log!$A$2:$A$5000,$A69,Log!$F$2:$F$5000,"*→ "&amp;G$1&amp;"*"))</f>
        <v/>
      </c>
      <c r="H69">
        <f>IF($A69="","",COUNTIFS(Log!$A$2:$A$5000,$A69,Log!$F$2:$F$5000,"*→ "&amp;H$1&amp;"*"))</f>
        <v/>
      </c>
      <c r="I69">
        <f>IF($A69="","",COUNTIFS(Log!$A$2:$A$5000,$A69,Log!$F$2:$F$5000,"*→ "&amp;I$1&amp;"*"))</f>
        <v/>
      </c>
      <c r="J69">
        <f>IF($A69="","",COUNTIFS(Log!$A$2:$A$5000,$A69,Log!$F$2:$F$5000,"*→ "&amp;J$1&amp;"*"))</f>
        <v/>
      </c>
      <c r="K69">
        <f>IF($A69="","",COUNTIFS(Log!$A$2:$A$5000,$A69,Log!$F$2:$F$5000,"*→ "&amp;K$1&amp;"*"))</f>
        <v/>
      </c>
      <c r="L69">
        <f>IF($A69="","",COUNTIFS(Log!$A$2:$A$5000,$A69,Log!$F$2:$F$5000,"*→ "&amp;L$1&amp;"*"))</f>
        <v/>
      </c>
      <c r="M69">
        <f>IF($A69="","",COUNTIFS(Log!$A$2:$A$5000,$A69,Log!$F$2:$F$5000,"*→ "&amp;M$1&amp;"*"))</f>
        <v/>
      </c>
      <c r="N69">
        <f>IF($A69="","",COUNTIFS(Log!$A$2:$A$5000,$A69,Log!$F$2:$F$5000,"*→ "&amp;N$1&amp;"*"))</f>
        <v/>
      </c>
      <c r="O69">
        <f>IF($A69="","",COUNTIFS(Log!$A$2:$A$5000,$A69,Log!$F$2:$F$5000,"*→ "&amp;O$1&amp;"*"))</f>
        <v/>
      </c>
      <c r="P69">
        <f>IF($A69="","",COUNTIFS(Log!$A$2:$A$5000,$A69,Log!$F$2:$F$5000,"*→ "&amp;P$1&amp;"*"))</f>
        <v/>
      </c>
      <c r="Q69">
        <f>IF($A69="","",COUNTIFS(Log!$A$2:$A$5000,$A69,Log!$F$2:$F$5000,"*→ "&amp;Q$1&amp;"*"))</f>
        <v/>
      </c>
      <c r="R69">
        <f>IF($A69="","",COUNTIFS(Log!$A$2:$A$5000,$A69,Log!$F$2:$F$5000,"*→ "&amp;R$1&amp;"*"))</f>
        <v/>
      </c>
    </row>
    <row r="70">
      <c r="A70">
        <f>IF(Students!A70="","",Students!A70)</f>
        <v/>
      </c>
      <c r="B70">
        <f>IF($A70="","",COUNTIFS(Log!$A$2:$A$5000,$A70,Log!$F$2:$F$5000,"*→ "&amp;B$1&amp;"*"))</f>
        <v/>
      </c>
      <c r="C70">
        <f>IF($A70="","",COUNTIFS(Log!$A$2:$A$5000,$A70,Log!$F$2:$F$5000,"*→ "&amp;C$1&amp;"*"))</f>
        <v/>
      </c>
      <c r="D70">
        <f>IF($A70="","",COUNTIFS(Log!$A$2:$A$5000,$A70,Log!$F$2:$F$5000,"*→ "&amp;D$1&amp;"*"))</f>
        <v/>
      </c>
      <c r="E70">
        <f>IF($A70="","",COUNTIFS(Log!$A$2:$A$5000,$A70,Log!$F$2:$F$5000,"*→ "&amp;E$1&amp;"*"))</f>
        <v/>
      </c>
      <c r="F70">
        <f>IF($A70="","",COUNTIFS(Log!$A$2:$A$5000,$A70,Log!$F$2:$F$5000,"*→ "&amp;F$1&amp;"*"))</f>
        <v/>
      </c>
      <c r="G70">
        <f>IF($A70="","",COUNTIFS(Log!$A$2:$A$5000,$A70,Log!$F$2:$F$5000,"*→ "&amp;G$1&amp;"*"))</f>
        <v/>
      </c>
      <c r="H70">
        <f>IF($A70="","",COUNTIFS(Log!$A$2:$A$5000,$A70,Log!$F$2:$F$5000,"*→ "&amp;H$1&amp;"*"))</f>
        <v/>
      </c>
      <c r="I70">
        <f>IF($A70="","",COUNTIFS(Log!$A$2:$A$5000,$A70,Log!$F$2:$F$5000,"*→ "&amp;I$1&amp;"*"))</f>
        <v/>
      </c>
      <c r="J70">
        <f>IF($A70="","",COUNTIFS(Log!$A$2:$A$5000,$A70,Log!$F$2:$F$5000,"*→ "&amp;J$1&amp;"*"))</f>
        <v/>
      </c>
      <c r="K70">
        <f>IF($A70="","",COUNTIFS(Log!$A$2:$A$5000,$A70,Log!$F$2:$F$5000,"*→ "&amp;K$1&amp;"*"))</f>
        <v/>
      </c>
      <c r="L70">
        <f>IF($A70="","",COUNTIFS(Log!$A$2:$A$5000,$A70,Log!$F$2:$F$5000,"*→ "&amp;L$1&amp;"*"))</f>
        <v/>
      </c>
      <c r="M70">
        <f>IF($A70="","",COUNTIFS(Log!$A$2:$A$5000,$A70,Log!$F$2:$F$5000,"*→ "&amp;M$1&amp;"*"))</f>
        <v/>
      </c>
      <c r="N70">
        <f>IF($A70="","",COUNTIFS(Log!$A$2:$A$5000,$A70,Log!$F$2:$F$5000,"*→ "&amp;N$1&amp;"*"))</f>
        <v/>
      </c>
      <c r="O70">
        <f>IF($A70="","",COUNTIFS(Log!$A$2:$A$5000,$A70,Log!$F$2:$F$5000,"*→ "&amp;O$1&amp;"*"))</f>
        <v/>
      </c>
      <c r="P70">
        <f>IF($A70="","",COUNTIFS(Log!$A$2:$A$5000,$A70,Log!$F$2:$F$5000,"*→ "&amp;P$1&amp;"*"))</f>
        <v/>
      </c>
      <c r="Q70">
        <f>IF($A70="","",COUNTIFS(Log!$A$2:$A$5000,$A70,Log!$F$2:$F$5000,"*→ "&amp;Q$1&amp;"*"))</f>
        <v/>
      </c>
      <c r="R70">
        <f>IF($A70="","",COUNTIFS(Log!$A$2:$A$5000,$A70,Log!$F$2:$F$5000,"*→ "&amp;R$1&amp;"*"))</f>
        <v/>
      </c>
    </row>
    <row r="71">
      <c r="A71">
        <f>IF(Students!A71="","",Students!A71)</f>
        <v/>
      </c>
      <c r="B71">
        <f>IF($A71="","",COUNTIFS(Log!$A$2:$A$5000,$A71,Log!$F$2:$F$5000,"*→ "&amp;B$1&amp;"*"))</f>
        <v/>
      </c>
      <c r="C71">
        <f>IF($A71="","",COUNTIFS(Log!$A$2:$A$5000,$A71,Log!$F$2:$F$5000,"*→ "&amp;C$1&amp;"*"))</f>
        <v/>
      </c>
      <c r="D71">
        <f>IF($A71="","",COUNTIFS(Log!$A$2:$A$5000,$A71,Log!$F$2:$F$5000,"*→ "&amp;D$1&amp;"*"))</f>
        <v/>
      </c>
      <c r="E71">
        <f>IF($A71="","",COUNTIFS(Log!$A$2:$A$5000,$A71,Log!$F$2:$F$5000,"*→ "&amp;E$1&amp;"*"))</f>
        <v/>
      </c>
      <c r="F71">
        <f>IF($A71="","",COUNTIFS(Log!$A$2:$A$5000,$A71,Log!$F$2:$F$5000,"*→ "&amp;F$1&amp;"*"))</f>
        <v/>
      </c>
      <c r="G71">
        <f>IF($A71="","",COUNTIFS(Log!$A$2:$A$5000,$A71,Log!$F$2:$F$5000,"*→ "&amp;G$1&amp;"*"))</f>
        <v/>
      </c>
      <c r="H71">
        <f>IF($A71="","",COUNTIFS(Log!$A$2:$A$5000,$A71,Log!$F$2:$F$5000,"*→ "&amp;H$1&amp;"*"))</f>
        <v/>
      </c>
      <c r="I71">
        <f>IF($A71="","",COUNTIFS(Log!$A$2:$A$5000,$A71,Log!$F$2:$F$5000,"*→ "&amp;I$1&amp;"*"))</f>
        <v/>
      </c>
      <c r="J71">
        <f>IF($A71="","",COUNTIFS(Log!$A$2:$A$5000,$A71,Log!$F$2:$F$5000,"*→ "&amp;J$1&amp;"*"))</f>
        <v/>
      </c>
      <c r="K71">
        <f>IF($A71="","",COUNTIFS(Log!$A$2:$A$5000,$A71,Log!$F$2:$F$5000,"*→ "&amp;K$1&amp;"*"))</f>
        <v/>
      </c>
      <c r="L71">
        <f>IF($A71="","",COUNTIFS(Log!$A$2:$A$5000,$A71,Log!$F$2:$F$5000,"*→ "&amp;L$1&amp;"*"))</f>
        <v/>
      </c>
      <c r="M71">
        <f>IF($A71="","",COUNTIFS(Log!$A$2:$A$5000,$A71,Log!$F$2:$F$5000,"*→ "&amp;M$1&amp;"*"))</f>
        <v/>
      </c>
      <c r="N71">
        <f>IF($A71="","",COUNTIFS(Log!$A$2:$A$5000,$A71,Log!$F$2:$F$5000,"*→ "&amp;N$1&amp;"*"))</f>
        <v/>
      </c>
      <c r="O71">
        <f>IF($A71="","",COUNTIFS(Log!$A$2:$A$5000,$A71,Log!$F$2:$F$5000,"*→ "&amp;O$1&amp;"*"))</f>
        <v/>
      </c>
      <c r="P71">
        <f>IF($A71="","",COUNTIFS(Log!$A$2:$A$5000,$A71,Log!$F$2:$F$5000,"*→ "&amp;P$1&amp;"*"))</f>
        <v/>
      </c>
      <c r="Q71">
        <f>IF($A71="","",COUNTIFS(Log!$A$2:$A$5000,$A71,Log!$F$2:$F$5000,"*→ "&amp;Q$1&amp;"*"))</f>
        <v/>
      </c>
      <c r="R71">
        <f>IF($A71="","",COUNTIFS(Log!$A$2:$A$5000,$A71,Log!$F$2:$F$5000,"*→ "&amp;R$1&amp;"*"))</f>
        <v/>
      </c>
    </row>
    <row r="72">
      <c r="A72">
        <f>IF(Students!A72="","",Students!A72)</f>
        <v/>
      </c>
      <c r="B72">
        <f>IF($A72="","",COUNTIFS(Log!$A$2:$A$5000,$A72,Log!$F$2:$F$5000,"*→ "&amp;B$1&amp;"*"))</f>
        <v/>
      </c>
      <c r="C72">
        <f>IF($A72="","",COUNTIFS(Log!$A$2:$A$5000,$A72,Log!$F$2:$F$5000,"*→ "&amp;C$1&amp;"*"))</f>
        <v/>
      </c>
      <c r="D72">
        <f>IF($A72="","",COUNTIFS(Log!$A$2:$A$5000,$A72,Log!$F$2:$F$5000,"*→ "&amp;D$1&amp;"*"))</f>
        <v/>
      </c>
      <c r="E72">
        <f>IF($A72="","",COUNTIFS(Log!$A$2:$A$5000,$A72,Log!$F$2:$F$5000,"*→ "&amp;E$1&amp;"*"))</f>
        <v/>
      </c>
      <c r="F72">
        <f>IF($A72="","",COUNTIFS(Log!$A$2:$A$5000,$A72,Log!$F$2:$F$5000,"*→ "&amp;F$1&amp;"*"))</f>
        <v/>
      </c>
      <c r="G72">
        <f>IF($A72="","",COUNTIFS(Log!$A$2:$A$5000,$A72,Log!$F$2:$F$5000,"*→ "&amp;G$1&amp;"*"))</f>
        <v/>
      </c>
      <c r="H72">
        <f>IF($A72="","",COUNTIFS(Log!$A$2:$A$5000,$A72,Log!$F$2:$F$5000,"*→ "&amp;H$1&amp;"*"))</f>
        <v/>
      </c>
      <c r="I72">
        <f>IF($A72="","",COUNTIFS(Log!$A$2:$A$5000,$A72,Log!$F$2:$F$5000,"*→ "&amp;I$1&amp;"*"))</f>
        <v/>
      </c>
      <c r="J72">
        <f>IF($A72="","",COUNTIFS(Log!$A$2:$A$5000,$A72,Log!$F$2:$F$5000,"*→ "&amp;J$1&amp;"*"))</f>
        <v/>
      </c>
      <c r="K72">
        <f>IF($A72="","",COUNTIFS(Log!$A$2:$A$5000,$A72,Log!$F$2:$F$5000,"*→ "&amp;K$1&amp;"*"))</f>
        <v/>
      </c>
      <c r="L72">
        <f>IF($A72="","",COUNTIFS(Log!$A$2:$A$5000,$A72,Log!$F$2:$F$5000,"*→ "&amp;L$1&amp;"*"))</f>
        <v/>
      </c>
      <c r="M72">
        <f>IF($A72="","",COUNTIFS(Log!$A$2:$A$5000,$A72,Log!$F$2:$F$5000,"*→ "&amp;M$1&amp;"*"))</f>
        <v/>
      </c>
      <c r="N72">
        <f>IF($A72="","",COUNTIFS(Log!$A$2:$A$5000,$A72,Log!$F$2:$F$5000,"*→ "&amp;N$1&amp;"*"))</f>
        <v/>
      </c>
      <c r="O72">
        <f>IF($A72="","",COUNTIFS(Log!$A$2:$A$5000,$A72,Log!$F$2:$F$5000,"*→ "&amp;O$1&amp;"*"))</f>
        <v/>
      </c>
      <c r="P72">
        <f>IF($A72="","",COUNTIFS(Log!$A$2:$A$5000,$A72,Log!$F$2:$F$5000,"*→ "&amp;P$1&amp;"*"))</f>
        <v/>
      </c>
      <c r="Q72">
        <f>IF($A72="","",COUNTIFS(Log!$A$2:$A$5000,$A72,Log!$F$2:$F$5000,"*→ "&amp;Q$1&amp;"*"))</f>
        <v/>
      </c>
      <c r="R72">
        <f>IF($A72="","",COUNTIFS(Log!$A$2:$A$5000,$A72,Log!$F$2:$F$5000,"*→ "&amp;R$1&amp;"*"))</f>
        <v/>
      </c>
    </row>
    <row r="73">
      <c r="A73">
        <f>IF(Students!A73="","",Students!A73)</f>
        <v/>
      </c>
      <c r="B73">
        <f>IF($A73="","",COUNTIFS(Log!$A$2:$A$5000,$A73,Log!$F$2:$F$5000,"*→ "&amp;B$1&amp;"*"))</f>
        <v/>
      </c>
      <c r="C73">
        <f>IF($A73="","",COUNTIFS(Log!$A$2:$A$5000,$A73,Log!$F$2:$F$5000,"*→ "&amp;C$1&amp;"*"))</f>
        <v/>
      </c>
      <c r="D73">
        <f>IF($A73="","",COUNTIFS(Log!$A$2:$A$5000,$A73,Log!$F$2:$F$5000,"*→ "&amp;D$1&amp;"*"))</f>
        <v/>
      </c>
      <c r="E73">
        <f>IF($A73="","",COUNTIFS(Log!$A$2:$A$5000,$A73,Log!$F$2:$F$5000,"*→ "&amp;E$1&amp;"*"))</f>
        <v/>
      </c>
      <c r="F73">
        <f>IF($A73="","",COUNTIFS(Log!$A$2:$A$5000,$A73,Log!$F$2:$F$5000,"*→ "&amp;F$1&amp;"*"))</f>
        <v/>
      </c>
      <c r="G73">
        <f>IF($A73="","",COUNTIFS(Log!$A$2:$A$5000,$A73,Log!$F$2:$F$5000,"*→ "&amp;G$1&amp;"*"))</f>
        <v/>
      </c>
      <c r="H73">
        <f>IF($A73="","",COUNTIFS(Log!$A$2:$A$5000,$A73,Log!$F$2:$F$5000,"*→ "&amp;H$1&amp;"*"))</f>
        <v/>
      </c>
      <c r="I73">
        <f>IF($A73="","",COUNTIFS(Log!$A$2:$A$5000,$A73,Log!$F$2:$F$5000,"*→ "&amp;I$1&amp;"*"))</f>
        <v/>
      </c>
      <c r="J73">
        <f>IF($A73="","",COUNTIFS(Log!$A$2:$A$5000,$A73,Log!$F$2:$F$5000,"*→ "&amp;J$1&amp;"*"))</f>
        <v/>
      </c>
      <c r="K73">
        <f>IF($A73="","",COUNTIFS(Log!$A$2:$A$5000,$A73,Log!$F$2:$F$5000,"*→ "&amp;K$1&amp;"*"))</f>
        <v/>
      </c>
      <c r="L73">
        <f>IF($A73="","",COUNTIFS(Log!$A$2:$A$5000,$A73,Log!$F$2:$F$5000,"*→ "&amp;L$1&amp;"*"))</f>
        <v/>
      </c>
      <c r="M73">
        <f>IF($A73="","",COUNTIFS(Log!$A$2:$A$5000,$A73,Log!$F$2:$F$5000,"*→ "&amp;M$1&amp;"*"))</f>
        <v/>
      </c>
      <c r="N73">
        <f>IF($A73="","",COUNTIFS(Log!$A$2:$A$5000,$A73,Log!$F$2:$F$5000,"*→ "&amp;N$1&amp;"*"))</f>
        <v/>
      </c>
      <c r="O73">
        <f>IF($A73="","",COUNTIFS(Log!$A$2:$A$5000,$A73,Log!$F$2:$F$5000,"*→ "&amp;O$1&amp;"*"))</f>
        <v/>
      </c>
      <c r="P73">
        <f>IF($A73="","",COUNTIFS(Log!$A$2:$A$5000,$A73,Log!$F$2:$F$5000,"*→ "&amp;P$1&amp;"*"))</f>
        <v/>
      </c>
      <c r="Q73">
        <f>IF($A73="","",COUNTIFS(Log!$A$2:$A$5000,$A73,Log!$F$2:$F$5000,"*→ "&amp;Q$1&amp;"*"))</f>
        <v/>
      </c>
      <c r="R73">
        <f>IF($A73="","",COUNTIFS(Log!$A$2:$A$5000,$A73,Log!$F$2:$F$5000,"*→ "&amp;R$1&amp;"*"))</f>
        <v/>
      </c>
    </row>
    <row r="74">
      <c r="A74">
        <f>IF(Students!A74="","",Students!A74)</f>
        <v/>
      </c>
      <c r="B74">
        <f>IF($A74="","",COUNTIFS(Log!$A$2:$A$5000,$A74,Log!$F$2:$F$5000,"*→ "&amp;B$1&amp;"*"))</f>
        <v/>
      </c>
      <c r="C74">
        <f>IF($A74="","",COUNTIFS(Log!$A$2:$A$5000,$A74,Log!$F$2:$F$5000,"*→ "&amp;C$1&amp;"*"))</f>
        <v/>
      </c>
      <c r="D74">
        <f>IF($A74="","",COUNTIFS(Log!$A$2:$A$5000,$A74,Log!$F$2:$F$5000,"*→ "&amp;D$1&amp;"*"))</f>
        <v/>
      </c>
      <c r="E74">
        <f>IF($A74="","",COUNTIFS(Log!$A$2:$A$5000,$A74,Log!$F$2:$F$5000,"*→ "&amp;E$1&amp;"*"))</f>
        <v/>
      </c>
      <c r="F74">
        <f>IF($A74="","",COUNTIFS(Log!$A$2:$A$5000,$A74,Log!$F$2:$F$5000,"*→ "&amp;F$1&amp;"*"))</f>
        <v/>
      </c>
      <c r="G74">
        <f>IF($A74="","",COUNTIFS(Log!$A$2:$A$5000,$A74,Log!$F$2:$F$5000,"*→ "&amp;G$1&amp;"*"))</f>
        <v/>
      </c>
      <c r="H74">
        <f>IF($A74="","",COUNTIFS(Log!$A$2:$A$5000,$A74,Log!$F$2:$F$5000,"*→ "&amp;H$1&amp;"*"))</f>
        <v/>
      </c>
      <c r="I74">
        <f>IF($A74="","",COUNTIFS(Log!$A$2:$A$5000,$A74,Log!$F$2:$F$5000,"*→ "&amp;I$1&amp;"*"))</f>
        <v/>
      </c>
      <c r="J74">
        <f>IF($A74="","",COUNTIFS(Log!$A$2:$A$5000,$A74,Log!$F$2:$F$5000,"*→ "&amp;J$1&amp;"*"))</f>
        <v/>
      </c>
      <c r="K74">
        <f>IF($A74="","",COUNTIFS(Log!$A$2:$A$5000,$A74,Log!$F$2:$F$5000,"*→ "&amp;K$1&amp;"*"))</f>
        <v/>
      </c>
      <c r="L74">
        <f>IF($A74="","",COUNTIFS(Log!$A$2:$A$5000,$A74,Log!$F$2:$F$5000,"*→ "&amp;L$1&amp;"*"))</f>
        <v/>
      </c>
      <c r="M74">
        <f>IF($A74="","",COUNTIFS(Log!$A$2:$A$5000,$A74,Log!$F$2:$F$5000,"*→ "&amp;M$1&amp;"*"))</f>
        <v/>
      </c>
      <c r="N74">
        <f>IF($A74="","",COUNTIFS(Log!$A$2:$A$5000,$A74,Log!$F$2:$F$5000,"*→ "&amp;N$1&amp;"*"))</f>
        <v/>
      </c>
      <c r="O74">
        <f>IF($A74="","",COUNTIFS(Log!$A$2:$A$5000,$A74,Log!$F$2:$F$5000,"*→ "&amp;O$1&amp;"*"))</f>
        <v/>
      </c>
      <c r="P74">
        <f>IF($A74="","",COUNTIFS(Log!$A$2:$A$5000,$A74,Log!$F$2:$F$5000,"*→ "&amp;P$1&amp;"*"))</f>
        <v/>
      </c>
      <c r="Q74">
        <f>IF($A74="","",COUNTIFS(Log!$A$2:$A$5000,$A74,Log!$F$2:$F$5000,"*→ "&amp;Q$1&amp;"*"))</f>
        <v/>
      </c>
      <c r="R74">
        <f>IF($A74="","",COUNTIFS(Log!$A$2:$A$5000,$A74,Log!$F$2:$F$5000,"*→ "&amp;R$1&amp;"*"))</f>
        <v/>
      </c>
    </row>
    <row r="75">
      <c r="A75">
        <f>IF(Students!A75="","",Students!A75)</f>
        <v/>
      </c>
      <c r="B75">
        <f>IF($A75="","",COUNTIFS(Log!$A$2:$A$5000,$A75,Log!$F$2:$F$5000,"*→ "&amp;B$1&amp;"*"))</f>
        <v/>
      </c>
      <c r="C75">
        <f>IF($A75="","",COUNTIFS(Log!$A$2:$A$5000,$A75,Log!$F$2:$F$5000,"*→ "&amp;C$1&amp;"*"))</f>
        <v/>
      </c>
      <c r="D75">
        <f>IF($A75="","",COUNTIFS(Log!$A$2:$A$5000,$A75,Log!$F$2:$F$5000,"*→ "&amp;D$1&amp;"*"))</f>
        <v/>
      </c>
      <c r="E75">
        <f>IF($A75="","",COUNTIFS(Log!$A$2:$A$5000,$A75,Log!$F$2:$F$5000,"*→ "&amp;E$1&amp;"*"))</f>
        <v/>
      </c>
      <c r="F75">
        <f>IF($A75="","",COUNTIFS(Log!$A$2:$A$5000,$A75,Log!$F$2:$F$5000,"*→ "&amp;F$1&amp;"*"))</f>
        <v/>
      </c>
      <c r="G75">
        <f>IF($A75="","",COUNTIFS(Log!$A$2:$A$5000,$A75,Log!$F$2:$F$5000,"*→ "&amp;G$1&amp;"*"))</f>
        <v/>
      </c>
      <c r="H75">
        <f>IF($A75="","",COUNTIFS(Log!$A$2:$A$5000,$A75,Log!$F$2:$F$5000,"*→ "&amp;H$1&amp;"*"))</f>
        <v/>
      </c>
      <c r="I75">
        <f>IF($A75="","",COUNTIFS(Log!$A$2:$A$5000,$A75,Log!$F$2:$F$5000,"*→ "&amp;I$1&amp;"*"))</f>
        <v/>
      </c>
      <c r="J75">
        <f>IF($A75="","",COUNTIFS(Log!$A$2:$A$5000,$A75,Log!$F$2:$F$5000,"*→ "&amp;J$1&amp;"*"))</f>
        <v/>
      </c>
      <c r="K75">
        <f>IF($A75="","",COUNTIFS(Log!$A$2:$A$5000,$A75,Log!$F$2:$F$5000,"*→ "&amp;K$1&amp;"*"))</f>
        <v/>
      </c>
      <c r="L75">
        <f>IF($A75="","",COUNTIFS(Log!$A$2:$A$5000,$A75,Log!$F$2:$F$5000,"*→ "&amp;L$1&amp;"*"))</f>
        <v/>
      </c>
      <c r="M75">
        <f>IF($A75="","",COUNTIFS(Log!$A$2:$A$5000,$A75,Log!$F$2:$F$5000,"*→ "&amp;M$1&amp;"*"))</f>
        <v/>
      </c>
      <c r="N75">
        <f>IF($A75="","",COUNTIFS(Log!$A$2:$A$5000,$A75,Log!$F$2:$F$5000,"*→ "&amp;N$1&amp;"*"))</f>
        <v/>
      </c>
      <c r="O75">
        <f>IF($A75="","",COUNTIFS(Log!$A$2:$A$5000,$A75,Log!$F$2:$F$5000,"*→ "&amp;O$1&amp;"*"))</f>
        <v/>
      </c>
      <c r="P75">
        <f>IF($A75="","",COUNTIFS(Log!$A$2:$A$5000,$A75,Log!$F$2:$F$5000,"*→ "&amp;P$1&amp;"*"))</f>
        <v/>
      </c>
      <c r="Q75">
        <f>IF($A75="","",COUNTIFS(Log!$A$2:$A$5000,$A75,Log!$F$2:$F$5000,"*→ "&amp;Q$1&amp;"*"))</f>
        <v/>
      </c>
      <c r="R75">
        <f>IF($A75="","",COUNTIFS(Log!$A$2:$A$5000,$A75,Log!$F$2:$F$5000,"*→ "&amp;R$1&amp;"*"))</f>
        <v/>
      </c>
    </row>
    <row r="76">
      <c r="A76">
        <f>IF(Students!A76="","",Students!A76)</f>
        <v/>
      </c>
      <c r="B76">
        <f>IF($A76="","",COUNTIFS(Log!$A$2:$A$5000,$A76,Log!$F$2:$F$5000,"*→ "&amp;B$1&amp;"*"))</f>
        <v/>
      </c>
      <c r="C76">
        <f>IF($A76="","",COUNTIFS(Log!$A$2:$A$5000,$A76,Log!$F$2:$F$5000,"*→ "&amp;C$1&amp;"*"))</f>
        <v/>
      </c>
      <c r="D76">
        <f>IF($A76="","",COUNTIFS(Log!$A$2:$A$5000,$A76,Log!$F$2:$F$5000,"*→ "&amp;D$1&amp;"*"))</f>
        <v/>
      </c>
      <c r="E76">
        <f>IF($A76="","",COUNTIFS(Log!$A$2:$A$5000,$A76,Log!$F$2:$F$5000,"*→ "&amp;E$1&amp;"*"))</f>
        <v/>
      </c>
      <c r="F76">
        <f>IF($A76="","",COUNTIFS(Log!$A$2:$A$5000,$A76,Log!$F$2:$F$5000,"*→ "&amp;F$1&amp;"*"))</f>
        <v/>
      </c>
      <c r="G76">
        <f>IF($A76="","",COUNTIFS(Log!$A$2:$A$5000,$A76,Log!$F$2:$F$5000,"*→ "&amp;G$1&amp;"*"))</f>
        <v/>
      </c>
      <c r="H76">
        <f>IF($A76="","",COUNTIFS(Log!$A$2:$A$5000,$A76,Log!$F$2:$F$5000,"*→ "&amp;H$1&amp;"*"))</f>
        <v/>
      </c>
      <c r="I76">
        <f>IF($A76="","",COUNTIFS(Log!$A$2:$A$5000,$A76,Log!$F$2:$F$5000,"*→ "&amp;I$1&amp;"*"))</f>
        <v/>
      </c>
      <c r="J76">
        <f>IF($A76="","",COUNTIFS(Log!$A$2:$A$5000,$A76,Log!$F$2:$F$5000,"*→ "&amp;J$1&amp;"*"))</f>
        <v/>
      </c>
      <c r="K76">
        <f>IF($A76="","",COUNTIFS(Log!$A$2:$A$5000,$A76,Log!$F$2:$F$5000,"*→ "&amp;K$1&amp;"*"))</f>
        <v/>
      </c>
      <c r="L76">
        <f>IF($A76="","",COUNTIFS(Log!$A$2:$A$5000,$A76,Log!$F$2:$F$5000,"*→ "&amp;L$1&amp;"*"))</f>
        <v/>
      </c>
      <c r="M76">
        <f>IF($A76="","",COUNTIFS(Log!$A$2:$A$5000,$A76,Log!$F$2:$F$5000,"*→ "&amp;M$1&amp;"*"))</f>
        <v/>
      </c>
      <c r="N76">
        <f>IF($A76="","",COUNTIFS(Log!$A$2:$A$5000,$A76,Log!$F$2:$F$5000,"*→ "&amp;N$1&amp;"*"))</f>
        <v/>
      </c>
      <c r="O76">
        <f>IF($A76="","",COUNTIFS(Log!$A$2:$A$5000,$A76,Log!$F$2:$F$5000,"*→ "&amp;O$1&amp;"*"))</f>
        <v/>
      </c>
      <c r="P76">
        <f>IF($A76="","",COUNTIFS(Log!$A$2:$A$5000,$A76,Log!$F$2:$F$5000,"*→ "&amp;P$1&amp;"*"))</f>
        <v/>
      </c>
      <c r="Q76">
        <f>IF($A76="","",COUNTIFS(Log!$A$2:$A$5000,$A76,Log!$F$2:$F$5000,"*→ "&amp;Q$1&amp;"*"))</f>
        <v/>
      </c>
      <c r="R76">
        <f>IF($A76="","",COUNTIFS(Log!$A$2:$A$5000,$A76,Log!$F$2:$F$5000,"*→ "&amp;R$1&amp;"*"))</f>
        <v/>
      </c>
    </row>
    <row r="77">
      <c r="A77">
        <f>IF(Students!A77="","",Students!A77)</f>
        <v/>
      </c>
      <c r="B77">
        <f>IF($A77="","",COUNTIFS(Log!$A$2:$A$5000,$A77,Log!$F$2:$F$5000,"*→ "&amp;B$1&amp;"*"))</f>
        <v/>
      </c>
      <c r="C77">
        <f>IF($A77="","",COUNTIFS(Log!$A$2:$A$5000,$A77,Log!$F$2:$F$5000,"*→ "&amp;C$1&amp;"*"))</f>
        <v/>
      </c>
      <c r="D77">
        <f>IF($A77="","",COUNTIFS(Log!$A$2:$A$5000,$A77,Log!$F$2:$F$5000,"*→ "&amp;D$1&amp;"*"))</f>
        <v/>
      </c>
      <c r="E77">
        <f>IF($A77="","",COUNTIFS(Log!$A$2:$A$5000,$A77,Log!$F$2:$F$5000,"*→ "&amp;E$1&amp;"*"))</f>
        <v/>
      </c>
      <c r="F77">
        <f>IF($A77="","",COUNTIFS(Log!$A$2:$A$5000,$A77,Log!$F$2:$F$5000,"*→ "&amp;F$1&amp;"*"))</f>
        <v/>
      </c>
      <c r="G77">
        <f>IF($A77="","",COUNTIFS(Log!$A$2:$A$5000,$A77,Log!$F$2:$F$5000,"*→ "&amp;G$1&amp;"*"))</f>
        <v/>
      </c>
      <c r="H77">
        <f>IF($A77="","",COUNTIFS(Log!$A$2:$A$5000,$A77,Log!$F$2:$F$5000,"*→ "&amp;H$1&amp;"*"))</f>
        <v/>
      </c>
      <c r="I77">
        <f>IF($A77="","",COUNTIFS(Log!$A$2:$A$5000,$A77,Log!$F$2:$F$5000,"*→ "&amp;I$1&amp;"*"))</f>
        <v/>
      </c>
      <c r="J77">
        <f>IF($A77="","",COUNTIFS(Log!$A$2:$A$5000,$A77,Log!$F$2:$F$5000,"*→ "&amp;J$1&amp;"*"))</f>
        <v/>
      </c>
      <c r="K77">
        <f>IF($A77="","",COUNTIFS(Log!$A$2:$A$5000,$A77,Log!$F$2:$F$5000,"*→ "&amp;K$1&amp;"*"))</f>
        <v/>
      </c>
      <c r="L77">
        <f>IF($A77="","",COUNTIFS(Log!$A$2:$A$5000,$A77,Log!$F$2:$F$5000,"*→ "&amp;L$1&amp;"*"))</f>
        <v/>
      </c>
      <c r="M77">
        <f>IF($A77="","",COUNTIFS(Log!$A$2:$A$5000,$A77,Log!$F$2:$F$5000,"*→ "&amp;M$1&amp;"*"))</f>
        <v/>
      </c>
      <c r="N77">
        <f>IF($A77="","",COUNTIFS(Log!$A$2:$A$5000,$A77,Log!$F$2:$F$5000,"*→ "&amp;N$1&amp;"*"))</f>
        <v/>
      </c>
      <c r="O77">
        <f>IF($A77="","",COUNTIFS(Log!$A$2:$A$5000,$A77,Log!$F$2:$F$5000,"*→ "&amp;O$1&amp;"*"))</f>
        <v/>
      </c>
      <c r="P77">
        <f>IF($A77="","",COUNTIFS(Log!$A$2:$A$5000,$A77,Log!$F$2:$F$5000,"*→ "&amp;P$1&amp;"*"))</f>
        <v/>
      </c>
      <c r="Q77">
        <f>IF($A77="","",COUNTIFS(Log!$A$2:$A$5000,$A77,Log!$F$2:$F$5000,"*→ "&amp;Q$1&amp;"*"))</f>
        <v/>
      </c>
      <c r="R77">
        <f>IF($A77="","",COUNTIFS(Log!$A$2:$A$5000,$A77,Log!$F$2:$F$5000,"*→ "&amp;R$1&amp;"*"))</f>
        <v/>
      </c>
    </row>
    <row r="78">
      <c r="A78">
        <f>IF(Students!A78="","",Students!A78)</f>
        <v/>
      </c>
      <c r="B78">
        <f>IF($A78="","",COUNTIFS(Log!$A$2:$A$5000,$A78,Log!$F$2:$F$5000,"*→ "&amp;B$1&amp;"*"))</f>
        <v/>
      </c>
      <c r="C78">
        <f>IF($A78="","",COUNTIFS(Log!$A$2:$A$5000,$A78,Log!$F$2:$F$5000,"*→ "&amp;C$1&amp;"*"))</f>
        <v/>
      </c>
      <c r="D78">
        <f>IF($A78="","",COUNTIFS(Log!$A$2:$A$5000,$A78,Log!$F$2:$F$5000,"*→ "&amp;D$1&amp;"*"))</f>
        <v/>
      </c>
      <c r="E78">
        <f>IF($A78="","",COUNTIFS(Log!$A$2:$A$5000,$A78,Log!$F$2:$F$5000,"*→ "&amp;E$1&amp;"*"))</f>
        <v/>
      </c>
      <c r="F78">
        <f>IF($A78="","",COUNTIFS(Log!$A$2:$A$5000,$A78,Log!$F$2:$F$5000,"*→ "&amp;F$1&amp;"*"))</f>
        <v/>
      </c>
      <c r="G78">
        <f>IF($A78="","",COUNTIFS(Log!$A$2:$A$5000,$A78,Log!$F$2:$F$5000,"*→ "&amp;G$1&amp;"*"))</f>
        <v/>
      </c>
      <c r="H78">
        <f>IF($A78="","",COUNTIFS(Log!$A$2:$A$5000,$A78,Log!$F$2:$F$5000,"*→ "&amp;H$1&amp;"*"))</f>
        <v/>
      </c>
      <c r="I78">
        <f>IF($A78="","",COUNTIFS(Log!$A$2:$A$5000,$A78,Log!$F$2:$F$5000,"*→ "&amp;I$1&amp;"*"))</f>
        <v/>
      </c>
      <c r="J78">
        <f>IF($A78="","",COUNTIFS(Log!$A$2:$A$5000,$A78,Log!$F$2:$F$5000,"*→ "&amp;J$1&amp;"*"))</f>
        <v/>
      </c>
      <c r="K78">
        <f>IF($A78="","",COUNTIFS(Log!$A$2:$A$5000,$A78,Log!$F$2:$F$5000,"*→ "&amp;K$1&amp;"*"))</f>
        <v/>
      </c>
      <c r="L78">
        <f>IF($A78="","",COUNTIFS(Log!$A$2:$A$5000,$A78,Log!$F$2:$F$5000,"*→ "&amp;L$1&amp;"*"))</f>
        <v/>
      </c>
      <c r="M78">
        <f>IF($A78="","",COUNTIFS(Log!$A$2:$A$5000,$A78,Log!$F$2:$F$5000,"*→ "&amp;M$1&amp;"*"))</f>
        <v/>
      </c>
      <c r="N78">
        <f>IF($A78="","",COUNTIFS(Log!$A$2:$A$5000,$A78,Log!$F$2:$F$5000,"*→ "&amp;N$1&amp;"*"))</f>
        <v/>
      </c>
      <c r="O78">
        <f>IF($A78="","",COUNTIFS(Log!$A$2:$A$5000,$A78,Log!$F$2:$F$5000,"*→ "&amp;O$1&amp;"*"))</f>
        <v/>
      </c>
      <c r="P78">
        <f>IF($A78="","",COUNTIFS(Log!$A$2:$A$5000,$A78,Log!$F$2:$F$5000,"*→ "&amp;P$1&amp;"*"))</f>
        <v/>
      </c>
      <c r="Q78">
        <f>IF($A78="","",COUNTIFS(Log!$A$2:$A$5000,$A78,Log!$F$2:$F$5000,"*→ "&amp;Q$1&amp;"*"))</f>
        <v/>
      </c>
      <c r="R78">
        <f>IF($A78="","",COUNTIFS(Log!$A$2:$A$5000,$A78,Log!$F$2:$F$5000,"*→ "&amp;R$1&amp;"*"))</f>
        <v/>
      </c>
    </row>
    <row r="79">
      <c r="A79">
        <f>IF(Students!A79="","",Students!A79)</f>
        <v/>
      </c>
      <c r="B79">
        <f>IF($A79="","",COUNTIFS(Log!$A$2:$A$5000,$A79,Log!$F$2:$F$5000,"*→ "&amp;B$1&amp;"*"))</f>
        <v/>
      </c>
      <c r="C79">
        <f>IF($A79="","",COUNTIFS(Log!$A$2:$A$5000,$A79,Log!$F$2:$F$5000,"*→ "&amp;C$1&amp;"*"))</f>
        <v/>
      </c>
      <c r="D79">
        <f>IF($A79="","",COUNTIFS(Log!$A$2:$A$5000,$A79,Log!$F$2:$F$5000,"*→ "&amp;D$1&amp;"*"))</f>
        <v/>
      </c>
      <c r="E79">
        <f>IF($A79="","",COUNTIFS(Log!$A$2:$A$5000,$A79,Log!$F$2:$F$5000,"*→ "&amp;E$1&amp;"*"))</f>
        <v/>
      </c>
      <c r="F79">
        <f>IF($A79="","",COUNTIFS(Log!$A$2:$A$5000,$A79,Log!$F$2:$F$5000,"*→ "&amp;F$1&amp;"*"))</f>
        <v/>
      </c>
      <c r="G79">
        <f>IF($A79="","",COUNTIFS(Log!$A$2:$A$5000,$A79,Log!$F$2:$F$5000,"*→ "&amp;G$1&amp;"*"))</f>
        <v/>
      </c>
      <c r="H79">
        <f>IF($A79="","",COUNTIFS(Log!$A$2:$A$5000,$A79,Log!$F$2:$F$5000,"*→ "&amp;H$1&amp;"*"))</f>
        <v/>
      </c>
      <c r="I79">
        <f>IF($A79="","",COUNTIFS(Log!$A$2:$A$5000,$A79,Log!$F$2:$F$5000,"*→ "&amp;I$1&amp;"*"))</f>
        <v/>
      </c>
      <c r="J79">
        <f>IF($A79="","",COUNTIFS(Log!$A$2:$A$5000,$A79,Log!$F$2:$F$5000,"*→ "&amp;J$1&amp;"*"))</f>
        <v/>
      </c>
      <c r="K79">
        <f>IF($A79="","",COUNTIFS(Log!$A$2:$A$5000,$A79,Log!$F$2:$F$5000,"*→ "&amp;K$1&amp;"*"))</f>
        <v/>
      </c>
      <c r="L79">
        <f>IF($A79="","",COUNTIFS(Log!$A$2:$A$5000,$A79,Log!$F$2:$F$5000,"*→ "&amp;L$1&amp;"*"))</f>
        <v/>
      </c>
      <c r="M79">
        <f>IF($A79="","",COUNTIFS(Log!$A$2:$A$5000,$A79,Log!$F$2:$F$5000,"*→ "&amp;M$1&amp;"*"))</f>
        <v/>
      </c>
      <c r="N79">
        <f>IF($A79="","",COUNTIFS(Log!$A$2:$A$5000,$A79,Log!$F$2:$F$5000,"*→ "&amp;N$1&amp;"*"))</f>
        <v/>
      </c>
      <c r="O79">
        <f>IF($A79="","",COUNTIFS(Log!$A$2:$A$5000,$A79,Log!$F$2:$F$5000,"*→ "&amp;O$1&amp;"*"))</f>
        <v/>
      </c>
      <c r="P79">
        <f>IF($A79="","",COUNTIFS(Log!$A$2:$A$5000,$A79,Log!$F$2:$F$5000,"*→ "&amp;P$1&amp;"*"))</f>
        <v/>
      </c>
      <c r="Q79">
        <f>IF($A79="","",COUNTIFS(Log!$A$2:$A$5000,$A79,Log!$F$2:$F$5000,"*→ "&amp;Q$1&amp;"*"))</f>
        <v/>
      </c>
      <c r="R79">
        <f>IF($A79="","",COUNTIFS(Log!$A$2:$A$5000,$A79,Log!$F$2:$F$5000,"*→ "&amp;R$1&amp;"*"))</f>
        <v/>
      </c>
    </row>
    <row r="80">
      <c r="A80">
        <f>IF(Students!A80="","",Students!A80)</f>
        <v/>
      </c>
      <c r="B80">
        <f>IF($A80="","",COUNTIFS(Log!$A$2:$A$5000,$A80,Log!$F$2:$F$5000,"*→ "&amp;B$1&amp;"*"))</f>
        <v/>
      </c>
      <c r="C80">
        <f>IF($A80="","",COUNTIFS(Log!$A$2:$A$5000,$A80,Log!$F$2:$F$5000,"*→ "&amp;C$1&amp;"*"))</f>
        <v/>
      </c>
      <c r="D80">
        <f>IF($A80="","",COUNTIFS(Log!$A$2:$A$5000,$A80,Log!$F$2:$F$5000,"*→ "&amp;D$1&amp;"*"))</f>
        <v/>
      </c>
      <c r="E80">
        <f>IF($A80="","",COUNTIFS(Log!$A$2:$A$5000,$A80,Log!$F$2:$F$5000,"*→ "&amp;E$1&amp;"*"))</f>
        <v/>
      </c>
      <c r="F80">
        <f>IF($A80="","",COUNTIFS(Log!$A$2:$A$5000,$A80,Log!$F$2:$F$5000,"*→ "&amp;F$1&amp;"*"))</f>
        <v/>
      </c>
      <c r="G80">
        <f>IF($A80="","",COUNTIFS(Log!$A$2:$A$5000,$A80,Log!$F$2:$F$5000,"*→ "&amp;G$1&amp;"*"))</f>
        <v/>
      </c>
      <c r="H80">
        <f>IF($A80="","",COUNTIFS(Log!$A$2:$A$5000,$A80,Log!$F$2:$F$5000,"*→ "&amp;H$1&amp;"*"))</f>
        <v/>
      </c>
      <c r="I80">
        <f>IF($A80="","",COUNTIFS(Log!$A$2:$A$5000,$A80,Log!$F$2:$F$5000,"*→ "&amp;I$1&amp;"*"))</f>
        <v/>
      </c>
      <c r="J80">
        <f>IF($A80="","",COUNTIFS(Log!$A$2:$A$5000,$A80,Log!$F$2:$F$5000,"*→ "&amp;J$1&amp;"*"))</f>
        <v/>
      </c>
      <c r="K80">
        <f>IF($A80="","",COUNTIFS(Log!$A$2:$A$5000,$A80,Log!$F$2:$F$5000,"*→ "&amp;K$1&amp;"*"))</f>
        <v/>
      </c>
      <c r="L80">
        <f>IF($A80="","",COUNTIFS(Log!$A$2:$A$5000,$A80,Log!$F$2:$F$5000,"*→ "&amp;L$1&amp;"*"))</f>
        <v/>
      </c>
      <c r="M80">
        <f>IF($A80="","",COUNTIFS(Log!$A$2:$A$5000,$A80,Log!$F$2:$F$5000,"*→ "&amp;M$1&amp;"*"))</f>
        <v/>
      </c>
      <c r="N80">
        <f>IF($A80="","",COUNTIFS(Log!$A$2:$A$5000,$A80,Log!$F$2:$F$5000,"*→ "&amp;N$1&amp;"*"))</f>
        <v/>
      </c>
      <c r="O80">
        <f>IF($A80="","",COUNTIFS(Log!$A$2:$A$5000,$A80,Log!$F$2:$F$5000,"*→ "&amp;O$1&amp;"*"))</f>
        <v/>
      </c>
      <c r="P80">
        <f>IF($A80="","",COUNTIFS(Log!$A$2:$A$5000,$A80,Log!$F$2:$F$5000,"*→ "&amp;P$1&amp;"*"))</f>
        <v/>
      </c>
      <c r="Q80">
        <f>IF($A80="","",COUNTIFS(Log!$A$2:$A$5000,$A80,Log!$F$2:$F$5000,"*→ "&amp;Q$1&amp;"*"))</f>
        <v/>
      </c>
      <c r="R80">
        <f>IF($A80="","",COUNTIFS(Log!$A$2:$A$5000,$A80,Log!$F$2:$F$5000,"*→ "&amp;R$1&amp;"*"))</f>
        <v/>
      </c>
    </row>
    <row r="81">
      <c r="A81">
        <f>IF(Students!A81="","",Students!A81)</f>
        <v/>
      </c>
      <c r="B81">
        <f>IF($A81="","",COUNTIFS(Log!$A$2:$A$5000,$A81,Log!$F$2:$F$5000,"*→ "&amp;B$1&amp;"*"))</f>
        <v/>
      </c>
      <c r="C81">
        <f>IF($A81="","",COUNTIFS(Log!$A$2:$A$5000,$A81,Log!$F$2:$F$5000,"*→ "&amp;C$1&amp;"*"))</f>
        <v/>
      </c>
      <c r="D81">
        <f>IF($A81="","",COUNTIFS(Log!$A$2:$A$5000,$A81,Log!$F$2:$F$5000,"*→ "&amp;D$1&amp;"*"))</f>
        <v/>
      </c>
      <c r="E81">
        <f>IF($A81="","",COUNTIFS(Log!$A$2:$A$5000,$A81,Log!$F$2:$F$5000,"*→ "&amp;E$1&amp;"*"))</f>
        <v/>
      </c>
      <c r="F81">
        <f>IF($A81="","",COUNTIFS(Log!$A$2:$A$5000,$A81,Log!$F$2:$F$5000,"*→ "&amp;F$1&amp;"*"))</f>
        <v/>
      </c>
      <c r="G81">
        <f>IF($A81="","",COUNTIFS(Log!$A$2:$A$5000,$A81,Log!$F$2:$F$5000,"*→ "&amp;G$1&amp;"*"))</f>
        <v/>
      </c>
      <c r="H81">
        <f>IF($A81="","",COUNTIFS(Log!$A$2:$A$5000,$A81,Log!$F$2:$F$5000,"*→ "&amp;H$1&amp;"*"))</f>
        <v/>
      </c>
      <c r="I81">
        <f>IF($A81="","",COUNTIFS(Log!$A$2:$A$5000,$A81,Log!$F$2:$F$5000,"*→ "&amp;I$1&amp;"*"))</f>
        <v/>
      </c>
      <c r="J81">
        <f>IF($A81="","",COUNTIFS(Log!$A$2:$A$5000,$A81,Log!$F$2:$F$5000,"*→ "&amp;J$1&amp;"*"))</f>
        <v/>
      </c>
      <c r="K81">
        <f>IF($A81="","",COUNTIFS(Log!$A$2:$A$5000,$A81,Log!$F$2:$F$5000,"*→ "&amp;K$1&amp;"*"))</f>
        <v/>
      </c>
      <c r="L81">
        <f>IF($A81="","",COUNTIFS(Log!$A$2:$A$5000,$A81,Log!$F$2:$F$5000,"*→ "&amp;L$1&amp;"*"))</f>
        <v/>
      </c>
      <c r="M81">
        <f>IF($A81="","",COUNTIFS(Log!$A$2:$A$5000,$A81,Log!$F$2:$F$5000,"*→ "&amp;M$1&amp;"*"))</f>
        <v/>
      </c>
      <c r="N81">
        <f>IF($A81="","",COUNTIFS(Log!$A$2:$A$5000,$A81,Log!$F$2:$F$5000,"*→ "&amp;N$1&amp;"*"))</f>
        <v/>
      </c>
      <c r="O81">
        <f>IF($A81="","",COUNTIFS(Log!$A$2:$A$5000,$A81,Log!$F$2:$F$5000,"*→ "&amp;O$1&amp;"*"))</f>
        <v/>
      </c>
      <c r="P81">
        <f>IF($A81="","",COUNTIFS(Log!$A$2:$A$5000,$A81,Log!$F$2:$F$5000,"*→ "&amp;P$1&amp;"*"))</f>
        <v/>
      </c>
      <c r="Q81">
        <f>IF($A81="","",COUNTIFS(Log!$A$2:$A$5000,$A81,Log!$F$2:$F$5000,"*→ "&amp;Q$1&amp;"*"))</f>
        <v/>
      </c>
      <c r="R81">
        <f>IF($A81="","",COUNTIFS(Log!$A$2:$A$5000,$A81,Log!$F$2:$F$5000,"*→ "&amp;R$1&amp;"*"))</f>
        <v/>
      </c>
    </row>
    <row r="82">
      <c r="A82">
        <f>IF(Students!A82="","",Students!A82)</f>
        <v/>
      </c>
      <c r="B82">
        <f>IF($A82="","",COUNTIFS(Log!$A$2:$A$5000,$A82,Log!$F$2:$F$5000,"*→ "&amp;B$1&amp;"*"))</f>
        <v/>
      </c>
      <c r="C82">
        <f>IF($A82="","",COUNTIFS(Log!$A$2:$A$5000,$A82,Log!$F$2:$F$5000,"*→ "&amp;C$1&amp;"*"))</f>
        <v/>
      </c>
      <c r="D82">
        <f>IF($A82="","",COUNTIFS(Log!$A$2:$A$5000,$A82,Log!$F$2:$F$5000,"*→ "&amp;D$1&amp;"*"))</f>
        <v/>
      </c>
      <c r="E82">
        <f>IF($A82="","",COUNTIFS(Log!$A$2:$A$5000,$A82,Log!$F$2:$F$5000,"*→ "&amp;E$1&amp;"*"))</f>
        <v/>
      </c>
      <c r="F82">
        <f>IF($A82="","",COUNTIFS(Log!$A$2:$A$5000,$A82,Log!$F$2:$F$5000,"*→ "&amp;F$1&amp;"*"))</f>
        <v/>
      </c>
      <c r="G82">
        <f>IF($A82="","",COUNTIFS(Log!$A$2:$A$5000,$A82,Log!$F$2:$F$5000,"*→ "&amp;G$1&amp;"*"))</f>
        <v/>
      </c>
      <c r="H82">
        <f>IF($A82="","",COUNTIFS(Log!$A$2:$A$5000,$A82,Log!$F$2:$F$5000,"*→ "&amp;H$1&amp;"*"))</f>
        <v/>
      </c>
      <c r="I82">
        <f>IF($A82="","",COUNTIFS(Log!$A$2:$A$5000,$A82,Log!$F$2:$F$5000,"*→ "&amp;I$1&amp;"*"))</f>
        <v/>
      </c>
      <c r="J82">
        <f>IF($A82="","",COUNTIFS(Log!$A$2:$A$5000,$A82,Log!$F$2:$F$5000,"*→ "&amp;J$1&amp;"*"))</f>
        <v/>
      </c>
      <c r="K82">
        <f>IF($A82="","",COUNTIFS(Log!$A$2:$A$5000,$A82,Log!$F$2:$F$5000,"*→ "&amp;K$1&amp;"*"))</f>
        <v/>
      </c>
      <c r="L82">
        <f>IF($A82="","",COUNTIFS(Log!$A$2:$A$5000,$A82,Log!$F$2:$F$5000,"*→ "&amp;L$1&amp;"*"))</f>
        <v/>
      </c>
      <c r="M82">
        <f>IF($A82="","",COUNTIFS(Log!$A$2:$A$5000,$A82,Log!$F$2:$F$5000,"*→ "&amp;M$1&amp;"*"))</f>
        <v/>
      </c>
      <c r="N82">
        <f>IF($A82="","",COUNTIFS(Log!$A$2:$A$5000,$A82,Log!$F$2:$F$5000,"*→ "&amp;N$1&amp;"*"))</f>
        <v/>
      </c>
      <c r="O82">
        <f>IF($A82="","",COUNTIFS(Log!$A$2:$A$5000,$A82,Log!$F$2:$F$5000,"*→ "&amp;O$1&amp;"*"))</f>
        <v/>
      </c>
      <c r="P82">
        <f>IF($A82="","",COUNTIFS(Log!$A$2:$A$5000,$A82,Log!$F$2:$F$5000,"*→ "&amp;P$1&amp;"*"))</f>
        <v/>
      </c>
      <c r="Q82">
        <f>IF($A82="","",COUNTIFS(Log!$A$2:$A$5000,$A82,Log!$F$2:$F$5000,"*→ "&amp;Q$1&amp;"*"))</f>
        <v/>
      </c>
      <c r="R82">
        <f>IF($A82="","",COUNTIFS(Log!$A$2:$A$5000,$A82,Log!$F$2:$F$5000,"*→ "&amp;R$1&amp;"*"))</f>
        <v/>
      </c>
    </row>
    <row r="83">
      <c r="A83">
        <f>IF(Students!A83="","",Students!A83)</f>
        <v/>
      </c>
      <c r="B83">
        <f>IF($A83="","",COUNTIFS(Log!$A$2:$A$5000,$A83,Log!$F$2:$F$5000,"*→ "&amp;B$1&amp;"*"))</f>
        <v/>
      </c>
      <c r="C83">
        <f>IF($A83="","",COUNTIFS(Log!$A$2:$A$5000,$A83,Log!$F$2:$F$5000,"*→ "&amp;C$1&amp;"*"))</f>
        <v/>
      </c>
      <c r="D83">
        <f>IF($A83="","",COUNTIFS(Log!$A$2:$A$5000,$A83,Log!$F$2:$F$5000,"*→ "&amp;D$1&amp;"*"))</f>
        <v/>
      </c>
      <c r="E83">
        <f>IF($A83="","",COUNTIFS(Log!$A$2:$A$5000,$A83,Log!$F$2:$F$5000,"*→ "&amp;E$1&amp;"*"))</f>
        <v/>
      </c>
      <c r="F83">
        <f>IF($A83="","",COUNTIFS(Log!$A$2:$A$5000,$A83,Log!$F$2:$F$5000,"*→ "&amp;F$1&amp;"*"))</f>
        <v/>
      </c>
      <c r="G83">
        <f>IF($A83="","",COUNTIFS(Log!$A$2:$A$5000,$A83,Log!$F$2:$F$5000,"*→ "&amp;G$1&amp;"*"))</f>
        <v/>
      </c>
      <c r="H83">
        <f>IF($A83="","",COUNTIFS(Log!$A$2:$A$5000,$A83,Log!$F$2:$F$5000,"*→ "&amp;H$1&amp;"*"))</f>
        <v/>
      </c>
      <c r="I83">
        <f>IF($A83="","",COUNTIFS(Log!$A$2:$A$5000,$A83,Log!$F$2:$F$5000,"*→ "&amp;I$1&amp;"*"))</f>
        <v/>
      </c>
      <c r="J83">
        <f>IF($A83="","",COUNTIFS(Log!$A$2:$A$5000,$A83,Log!$F$2:$F$5000,"*→ "&amp;J$1&amp;"*"))</f>
        <v/>
      </c>
      <c r="K83">
        <f>IF($A83="","",COUNTIFS(Log!$A$2:$A$5000,$A83,Log!$F$2:$F$5000,"*→ "&amp;K$1&amp;"*"))</f>
        <v/>
      </c>
      <c r="L83">
        <f>IF($A83="","",COUNTIFS(Log!$A$2:$A$5000,$A83,Log!$F$2:$F$5000,"*→ "&amp;L$1&amp;"*"))</f>
        <v/>
      </c>
      <c r="M83">
        <f>IF($A83="","",COUNTIFS(Log!$A$2:$A$5000,$A83,Log!$F$2:$F$5000,"*→ "&amp;M$1&amp;"*"))</f>
        <v/>
      </c>
      <c r="N83">
        <f>IF($A83="","",COUNTIFS(Log!$A$2:$A$5000,$A83,Log!$F$2:$F$5000,"*→ "&amp;N$1&amp;"*"))</f>
        <v/>
      </c>
      <c r="O83">
        <f>IF($A83="","",COUNTIFS(Log!$A$2:$A$5000,$A83,Log!$F$2:$F$5000,"*→ "&amp;O$1&amp;"*"))</f>
        <v/>
      </c>
      <c r="P83">
        <f>IF($A83="","",COUNTIFS(Log!$A$2:$A$5000,$A83,Log!$F$2:$F$5000,"*→ "&amp;P$1&amp;"*"))</f>
        <v/>
      </c>
      <c r="Q83">
        <f>IF($A83="","",COUNTIFS(Log!$A$2:$A$5000,$A83,Log!$F$2:$F$5000,"*→ "&amp;Q$1&amp;"*"))</f>
        <v/>
      </c>
      <c r="R83">
        <f>IF($A83="","",COUNTIFS(Log!$A$2:$A$5000,$A83,Log!$F$2:$F$5000,"*→ "&amp;R$1&amp;"*"))</f>
        <v/>
      </c>
    </row>
    <row r="84">
      <c r="A84">
        <f>IF(Students!A84="","",Students!A84)</f>
        <v/>
      </c>
      <c r="B84">
        <f>IF($A84="","",COUNTIFS(Log!$A$2:$A$5000,$A84,Log!$F$2:$F$5000,"*→ "&amp;B$1&amp;"*"))</f>
        <v/>
      </c>
      <c r="C84">
        <f>IF($A84="","",COUNTIFS(Log!$A$2:$A$5000,$A84,Log!$F$2:$F$5000,"*→ "&amp;C$1&amp;"*"))</f>
        <v/>
      </c>
      <c r="D84">
        <f>IF($A84="","",COUNTIFS(Log!$A$2:$A$5000,$A84,Log!$F$2:$F$5000,"*→ "&amp;D$1&amp;"*"))</f>
        <v/>
      </c>
      <c r="E84">
        <f>IF($A84="","",COUNTIFS(Log!$A$2:$A$5000,$A84,Log!$F$2:$F$5000,"*→ "&amp;E$1&amp;"*"))</f>
        <v/>
      </c>
      <c r="F84">
        <f>IF($A84="","",COUNTIFS(Log!$A$2:$A$5000,$A84,Log!$F$2:$F$5000,"*→ "&amp;F$1&amp;"*"))</f>
        <v/>
      </c>
      <c r="G84">
        <f>IF($A84="","",COUNTIFS(Log!$A$2:$A$5000,$A84,Log!$F$2:$F$5000,"*→ "&amp;G$1&amp;"*"))</f>
        <v/>
      </c>
      <c r="H84">
        <f>IF($A84="","",COUNTIFS(Log!$A$2:$A$5000,$A84,Log!$F$2:$F$5000,"*→ "&amp;H$1&amp;"*"))</f>
        <v/>
      </c>
      <c r="I84">
        <f>IF($A84="","",COUNTIFS(Log!$A$2:$A$5000,$A84,Log!$F$2:$F$5000,"*→ "&amp;I$1&amp;"*"))</f>
        <v/>
      </c>
      <c r="J84">
        <f>IF($A84="","",COUNTIFS(Log!$A$2:$A$5000,$A84,Log!$F$2:$F$5000,"*→ "&amp;J$1&amp;"*"))</f>
        <v/>
      </c>
      <c r="K84">
        <f>IF($A84="","",COUNTIFS(Log!$A$2:$A$5000,$A84,Log!$F$2:$F$5000,"*→ "&amp;K$1&amp;"*"))</f>
        <v/>
      </c>
      <c r="L84">
        <f>IF($A84="","",COUNTIFS(Log!$A$2:$A$5000,$A84,Log!$F$2:$F$5000,"*→ "&amp;L$1&amp;"*"))</f>
        <v/>
      </c>
      <c r="M84">
        <f>IF($A84="","",COUNTIFS(Log!$A$2:$A$5000,$A84,Log!$F$2:$F$5000,"*→ "&amp;M$1&amp;"*"))</f>
        <v/>
      </c>
      <c r="N84">
        <f>IF($A84="","",COUNTIFS(Log!$A$2:$A$5000,$A84,Log!$F$2:$F$5000,"*→ "&amp;N$1&amp;"*"))</f>
        <v/>
      </c>
      <c r="O84">
        <f>IF($A84="","",COUNTIFS(Log!$A$2:$A$5000,$A84,Log!$F$2:$F$5000,"*→ "&amp;O$1&amp;"*"))</f>
        <v/>
      </c>
      <c r="P84">
        <f>IF($A84="","",COUNTIFS(Log!$A$2:$A$5000,$A84,Log!$F$2:$F$5000,"*→ "&amp;P$1&amp;"*"))</f>
        <v/>
      </c>
      <c r="Q84">
        <f>IF($A84="","",COUNTIFS(Log!$A$2:$A$5000,$A84,Log!$F$2:$F$5000,"*→ "&amp;Q$1&amp;"*"))</f>
        <v/>
      </c>
      <c r="R84">
        <f>IF($A84="","",COUNTIFS(Log!$A$2:$A$5000,$A84,Log!$F$2:$F$5000,"*→ "&amp;R$1&amp;"*"))</f>
        <v/>
      </c>
    </row>
    <row r="85">
      <c r="A85">
        <f>IF(Students!A85="","",Students!A85)</f>
        <v/>
      </c>
      <c r="B85">
        <f>IF($A85="","",COUNTIFS(Log!$A$2:$A$5000,$A85,Log!$F$2:$F$5000,"*→ "&amp;B$1&amp;"*"))</f>
        <v/>
      </c>
      <c r="C85">
        <f>IF($A85="","",COUNTIFS(Log!$A$2:$A$5000,$A85,Log!$F$2:$F$5000,"*→ "&amp;C$1&amp;"*"))</f>
        <v/>
      </c>
      <c r="D85">
        <f>IF($A85="","",COUNTIFS(Log!$A$2:$A$5000,$A85,Log!$F$2:$F$5000,"*→ "&amp;D$1&amp;"*"))</f>
        <v/>
      </c>
      <c r="E85">
        <f>IF($A85="","",COUNTIFS(Log!$A$2:$A$5000,$A85,Log!$F$2:$F$5000,"*→ "&amp;E$1&amp;"*"))</f>
        <v/>
      </c>
      <c r="F85">
        <f>IF($A85="","",COUNTIFS(Log!$A$2:$A$5000,$A85,Log!$F$2:$F$5000,"*→ "&amp;F$1&amp;"*"))</f>
        <v/>
      </c>
      <c r="G85">
        <f>IF($A85="","",COUNTIFS(Log!$A$2:$A$5000,$A85,Log!$F$2:$F$5000,"*→ "&amp;G$1&amp;"*"))</f>
        <v/>
      </c>
      <c r="H85">
        <f>IF($A85="","",COUNTIFS(Log!$A$2:$A$5000,$A85,Log!$F$2:$F$5000,"*→ "&amp;H$1&amp;"*"))</f>
        <v/>
      </c>
      <c r="I85">
        <f>IF($A85="","",COUNTIFS(Log!$A$2:$A$5000,$A85,Log!$F$2:$F$5000,"*→ "&amp;I$1&amp;"*"))</f>
        <v/>
      </c>
      <c r="J85">
        <f>IF($A85="","",COUNTIFS(Log!$A$2:$A$5000,$A85,Log!$F$2:$F$5000,"*→ "&amp;J$1&amp;"*"))</f>
        <v/>
      </c>
      <c r="K85">
        <f>IF($A85="","",COUNTIFS(Log!$A$2:$A$5000,$A85,Log!$F$2:$F$5000,"*→ "&amp;K$1&amp;"*"))</f>
        <v/>
      </c>
      <c r="L85">
        <f>IF($A85="","",COUNTIFS(Log!$A$2:$A$5000,$A85,Log!$F$2:$F$5000,"*→ "&amp;L$1&amp;"*"))</f>
        <v/>
      </c>
      <c r="M85">
        <f>IF($A85="","",COUNTIFS(Log!$A$2:$A$5000,$A85,Log!$F$2:$F$5000,"*→ "&amp;M$1&amp;"*"))</f>
        <v/>
      </c>
      <c r="N85">
        <f>IF($A85="","",COUNTIFS(Log!$A$2:$A$5000,$A85,Log!$F$2:$F$5000,"*→ "&amp;N$1&amp;"*"))</f>
        <v/>
      </c>
      <c r="O85">
        <f>IF($A85="","",COUNTIFS(Log!$A$2:$A$5000,$A85,Log!$F$2:$F$5000,"*→ "&amp;O$1&amp;"*"))</f>
        <v/>
      </c>
      <c r="P85">
        <f>IF($A85="","",COUNTIFS(Log!$A$2:$A$5000,$A85,Log!$F$2:$F$5000,"*→ "&amp;P$1&amp;"*"))</f>
        <v/>
      </c>
      <c r="Q85">
        <f>IF($A85="","",COUNTIFS(Log!$A$2:$A$5000,$A85,Log!$F$2:$F$5000,"*→ "&amp;Q$1&amp;"*"))</f>
        <v/>
      </c>
      <c r="R85">
        <f>IF($A85="","",COUNTIFS(Log!$A$2:$A$5000,$A85,Log!$F$2:$F$5000,"*→ "&amp;R$1&amp;"*"))</f>
        <v/>
      </c>
    </row>
    <row r="86">
      <c r="A86">
        <f>IF(Students!A86="","",Students!A86)</f>
        <v/>
      </c>
      <c r="B86">
        <f>IF($A86="","",COUNTIFS(Log!$A$2:$A$5000,$A86,Log!$F$2:$F$5000,"*→ "&amp;B$1&amp;"*"))</f>
        <v/>
      </c>
      <c r="C86">
        <f>IF($A86="","",COUNTIFS(Log!$A$2:$A$5000,$A86,Log!$F$2:$F$5000,"*→ "&amp;C$1&amp;"*"))</f>
        <v/>
      </c>
      <c r="D86">
        <f>IF($A86="","",COUNTIFS(Log!$A$2:$A$5000,$A86,Log!$F$2:$F$5000,"*→ "&amp;D$1&amp;"*"))</f>
        <v/>
      </c>
      <c r="E86">
        <f>IF($A86="","",COUNTIFS(Log!$A$2:$A$5000,$A86,Log!$F$2:$F$5000,"*→ "&amp;E$1&amp;"*"))</f>
        <v/>
      </c>
      <c r="F86">
        <f>IF($A86="","",COUNTIFS(Log!$A$2:$A$5000,$A86,Log!$F$2:$F$5000,"*→ "&amp;F$1&amp;"*"))</f>
        <v/>
      </c>
      <c r="G86">
        <f>IF($A86="","",COUNTIFS(Log!$A$2:$A$5000,$A86,Log!$F$2:$F$5000,"*→ "&amp;G$1&amp;"*"))</f>
        <v/>
      </c>
      <c r="H86">
        <f>IF($A86="","",COUNTIFS(Log!$A$2:$A$5000,$A86,Log!$F$2:$F$5000,"*→ "&amp;H$1&amp;"*"))</f>
        <v/>
      </c>
      <c r="I86">
        <f>IF($A86="","",COUNTIFS(Log!$A$2:$A$5000,$A86,Log!$F$2:$F$5000,"*→ "&amp;I$1&amp;"*"))</f>
        <v/>
      </c>
      <c r="J86">
        <f>IF($A86="","",COUNTIFS(Log!$A$2:$A$5000,$A86,Log!$F$2:$F$5000,"*→ "&amp;J$1&amp;"*"))</f>
        <v/>
      </c>
      <c r="K86">
        <f>IF($A86="","",COUNTIFS(Log!$A$2:$A$5000,$A86,Log!$F$2:$F$5000,"*→ "&amp;K$1&amp;"*"))</f>
        <v/>
      </c>
      <c r="L86">
        <f>IF($A86="","",COUNTIFS(Log!$A$2:$A$5000,$A86,Log!$F$2:$F$5000,"*→ "&amp;L$1&amp;"*"))</f>
        <v/>
      </c>
      <c r="M86">
        <f>IF($A86="","",COUNTIFS(Log!$A$2:$A$5000,$A86,Log!$F$2:$F$5000,"*→ "&amp;M$1&amp;"*"))</f>
        <v/>
      </c>
      <c r="N86">
        <f>IF($A86="","",COUNTIFS(Log!$A$2:$A$5000,$A86,Log!$F$2:$F$5000,"*→ "&amp;N$1&amp;"*"))</f>
        <v/>
      </c>
      <c r="O86">
        <f>IF($A86="","",COUNTIFS(Log!$A$2:$A$5000,$A86,Log!$F$2:$F$5000,"*→ "&amp;O$1&amp;"*"))</f>
        <v/>
      </c>
      <c r="P86">
        <f>IF($A86="","",COUNTIFS(Log!$A$2:$A$5000,$A86,Log!$F$2:$F$5000,"*→ "&amp;P$1&amp;"*"))</f>
        <v/>
      </c>
      <c r="Q86">
        <f>IF($A86="","",COUNTIFS(Log!$A$2:$A$5000,$A86,Log!$F$2:$F$5000,"*→ "&amp;Q$1&amp;"*"))</f>
        <v/>
      </c>
      <c r="R86">
        <f>IF($A86="","",COUNTIFS(Log!$A$2:$A$5000,$A86,Log!$F$2:$F$5000,"*→ "&amp;R$1&amp;"*"))</f>
        <v/>
      </c>
    </row>
    <row r="87">
      <c r="A87">
        <f>IF(Students!A87="","",Students!A87)</f>
        <v/>
      </c>
      <c r="B87">
        <f>IF($A87="","",COUNTIFS(Log!$A$2:$A$5000,$A87,Log!$F$2:$F$5000,"*→ "&amp;B$1&amp;"*"))</f>
        <v/>
      </c>
      <c r="C87">
        <f>IF($A87="","",COUNTIFS(Log!$A$2:$A$5000,$A87,Log!$F$2:$F$5000,"*→ "&amp;C$1&amp;"*"))</f>
        <v/>
      </c>
      <c r="D87">
        <f>IF($A87="","",COUNTIFS(Log!$A$2:$A$5000,$A87,Log!$F$2:$F$5000,"*→ "&amp;D$1&amp;"*"))</f>
        <v/>
      </c>
      <c r="E87">
        <f>IF($A87="","",COUNTIFS(Log!$A$2:$A$5000,$A87,Log!$F$2:$F$5000,"*→ "&amp;E$1&amp;"*"))</f>
        <v/>
      </c>
      <c r="F87">
        <f>IF($A87="","",COUNTIFS(Log!$A$2:$A$5000,$A87,Log!$F$2:$F$5000,"*→ "&amp;F$1&amp;"*"))</f>
        <v/>
      </c>
      <c r="G87">
        <f>IF($A87="","",COUNTIFS(Log!$A$2:$A$5000,$A87,Log!$F$2:$F$5000,"*→ "&amp;G$1&amp;"*"))</f>
        <v/>
      </c>
      <c r="H87">
        <f>IF($A87="","",COUNTIFS(Log!$A$2:$A$5000,$A87,Log!$F$2:$F$5000,"*→ "&amp;H$1&amp;"*"))</f>
        <v/>
      </c>
      <c r="I87">
        <f>IF($A87="","",COUNTIFS(Log!$A$2:$A$5000,$A87,Log!$F$2:$F$5000,"*→ "&amp;I$1&amp;"*"))</f>
        <v/>
      </c>
      <c r="J87">
        <f>IF($A87="","",COUNTIFS(Log!$A$2:$A$5000,$A87,Log!$F$2:$F$5000,"*→ "&amp;J$1&amp;"*"))</f>
        <v/>
      </c>
      <c r="K87">
        <f>IF($A87="","",COUNTIFS(Log!$A$2:$A$5000,$A87,Log!$F$2:$F$5000,"*→ "&amp;K$1&amp;"*"))</f>
        <v/>
      </c>
      <c r="L87">
        <f>IF($A87="","",COUNTIFS(Log!$A$2:$A$5000,$A87,Log!$F$2:$F$5000,"*→ "&amp;L$1&amp;"*"))</f>
        <v/>
      </c>
      <c r="M87">
        <f>IF($A87="","",COUNTIFS(Log!$A$2:$A$5000,$A87,Log!$F$2:$F$5000,"*→ "&amp;M$1&amp;"*"))</f>
        <v/>
      </c>
      <c r="N87">
        <f>IF($A87="","",COUNTIFS(Log!$A$2:$A$5000,$A87,Log!$F$2:$F$5000,"*→ "&amp;N$1&amp;"*"))</f>
        <v/>
      </c>
      <c r="O87">
        <f>IF($A87="","",COUNTIFS(Log!$A$2:$A$5000,$A87,Log!$F$2:$F$5000,"*→ "&amp;O$1&amp;"*"))</f>
        <v/>
      </c>
      <c r="P87">
        <f>IF($A87="","",COUNTIFS(Log!$A$2:$A$5000,$A87,Log!$F$2:$F$5000,"*→ "&amp;P$1&amp;"*"))</f>
        <v/>
      </c>
      <c r="Q87">
        <f>IF($A87="","",COUNTIFS(Log!$A$2:$A$5000,$A87,Log!$F$2:$F$5000,"*→ "&amp;Q$1&amp;"*"))</f>
        <v/>
      </c>
      <c r="R87">
        <f>IF($A87="","",COUNTIFS(Log!$A$2:$A$5000,$A87,Log!$F$2:$F$5000,"*→ "&amp;R$1&amp;"*"))</f>
        <v/>
      </c>
    </row>
    <row r="88">
      <c r="A88">
        <f>IF(Students!A88="","",Students!A88)</f>
        <v/>
      </c>
      <c r="B88">
        <f>IF($A88="","",COUNTIFS(Log!$A$2:$A$5000,$A88,Log!$F$2:$F$5000,"*→ "&amp;B$1&amp;"*"))</f>
        <v/>
      </c>
      <c r="C88">
        <f>IF($A88="","",COUNTIFS(Log!$A$2:$A$5000,$A88,Log!$F$2:$F$5000,"*→ "&amp;C$1&amp;"*"))</f>
        <v/>
      </c>
      <c r="D88">
        <f>IF($A88="","",COUNTIFS(Log!$A$2:$A$5000,$A88,Log!$F$2:$F$5000,"*→ "&amp;D$1&amp;"*"))</f>
        <v/>
      </c>
      <c r="E88">
        <f>IF($A88="","",COUNTIFS(Log!$A$2:$A$5000,$A88,Log!$F$2:$F$5000,"*→ "&amp;E$1&amp;"*"))</f>
        <v/>
      </c>
      <c r="F88">
        <f>IF($A88="","",COUNTIFS(Log!$A$2:$A$5000,$A88,Log!$F$2:$F$5000,"*→ "&amp;F$1&amp;"*"))</f>
        <v/>
      </c>
      <c r="G88">
        <f>IF($A88="","",COUNTIFS(Log!$A$2:$A$5000,$A88,Log!$F$2:$F$5000,"*→ "&amp;G$1&amp;"*"))</f>
        <v/>
      </c>
      <c r="H88">
        <f>IF($A88="","",COUNTIFS(Log!$A$2:$A$5000,$A88,Log!$F$2:$F$5000,"*→ "&amp;H$1&amp;"*"))</f>
        <v/>
      </c>
      <c r="I88">
        <f>IF($A88="","",COUNTIFS(Log!$A$2:$A$5000,$A88,Log!$F$2:$F$5000,"*→ "&amp;I$1&amp;"*"))</f>
        <v/>
      </c>
      <c r="J88">
        <f>IF($A88="","",COUNTIFS(Log!$A$2:$A$5000,$A88,Log!$F$2:$F$5000,"*→ "&amp;J$1&amp;"*"))</f>
        <v/>
      </c>
      <c r="K88">
        <f>IF($A88="","",COUNTIFS(Log!$A$2:$A$5000,$A88,Log!$F$2:$F$5000,"*→ "&amp;K$1&amp;"*"))</f>
        <v/>
      </c>
      <c r="L88">
        <f>IF($A88="","",COUNTIFS(Log!$A$2:$A$5000,$A88,Log!$F$2:$F$5000,"*→ "&amp;L$1&amp;"*"))</f>
        <v/>
      </c>
      <c r="M88">
        <f>IF($A88="","",COUNTIFS(Log!$A$2:$A$5000,$A88,Log!$F$2:$F$5000,"*→ "&amp;M$1&amp;"*"))</f>
        <v/>
      </c>
      <c r="N88">
        <f>IF($A88="","",COUNTIFS(Log!$A$2:$A$5000,$A88,Log!$F$2:$F$5000,"*→ "&amp;N$1&amp;"*"))</f>
        <v/>
      </c>
      <c r="O88">
        <f>IF($A88="","",COUNTIFS(Log!$A$2:$A$5000,$A88,Log!$F$2:$F$5000,"*→ "&amp;O$1&amp;"*"))</f>
        <v/>
      </c>
      <c r="P88">
        <f>IF($A88="","",COUNTIFS(Log!$A$2:$A$5000,$A88,Log!$F$2:$F$5000,"*→ "&amp;P$1&amp;"*"))</f>
        <v/>
      </c>
      <c r="Q88">
        <f>IF($A88="","",COUNTIFS(Log!$A$2:$A$5000,$A88,Log!$F$2:$F$5000,"*→ "&amp;Q$1&amp;"*"))</f>
        <v/>
      </c>
      <c r="R88">
        <f>IF($A88="","",COUNTIFS(Log!$A$2:$A$5000,$A88,Log!$F$2:$F$5000,"*→ "&amp;R$1&amp;"*"))</f>
        <v/>
      </c>
    </row>
    <row r="89">
      <c r="A89">
        <f>IF(Students!A89="","",Students!A89)</f>
        <v/>
      </c>
      <c r="B89">
        <f>IF($A89="","",COUNTIFS(Log!$A$2:$A$5000,$A89,Log!$F$2:$F$5000,"*→ "&amp;B$1&amp;"*"))</f>
        <v/>
      </c>
      <c r="C89">
        <f>IF($A89="","",COUNTIFS(Log!$A$2:$A$5000,$A89,Log!$F$2:$F$5000,"*→ "&amp;C$1&amp;"*"))</f>
        <v/>
      </c>
      <c r="D89">
        <f>IF($A89="","",COUNTIFS(Log!$A$2:$A$5000,$A89,Log!$F$2:$F$5000,"*→ "&amp;D$1&amp;"*"))</f>
        <v/>
      </c>
      <c r="E89">
        <f>IF($A89="","",COUNTIFS(Log!$A$2:$A$5000,$A89,Log!$F$2:$F$5000,"*→ "&amp;E$1&amp;"*"))</f>
        <v/>
      </c>
      <c r="F89">
        <f>IF($A89="","",COUNTIFS(Log!$A$2:$A$5000,$A89,Log!$F$2:$F$5000,"*→ "&amp;F$1&amp;"*"))</f>
        <v/>
      </c>
      <c r="G89">
        <f>IF($A89="","",COUNTIFS(Log!$A$2:$A$5000,$A89,Log!$F$2:$F$5000,"*→ "&amp;G$1&amp;"*"))</f>
        <v/>
      </c>
      <c r="H89">
        <f>IF($A89="","",COUNTIFS(Log!$A$2:$A$5000,$A89,Log!$F$2:$F$5000,"*→ "&amp;H$1&amp;"*"))</f>
        <v/>
      </c>
      <c r="I89">
        <f>IF($A89="","",COUNTIFS(Log!$A$2:$A$5000,$A89,Log!$F$2:$F$5000,"*→ "&amp;I$1&amp;"*"))</f>
        <v/>
      </c>
      <c r="J89">
        <f>IF($A89="","",COUNTIFS(Log!$A$2:$A$5000,$A89,Log!$F$2:$F$5000,"*→ "&amp;J$1&amp;"*"))</f>
        <v/>
      </c>
      <c r="K89">
        <f>IF($A89="","",COUNTIFS(Log!$A$2:$A$5000,$A89,Log!$F$2:$F$5000,"*→ "&amp;K$1&amp;"*"))</f>
        <v/>
      </c>
      <c r="L89">
        <f>IF($A89="","",COUNTIFS(Log!$A$2:$A$5000,$A89,Log!$F$2:$F$5000,"*→ "&amp;L$1&amp;"*"))</f>
        <v/>
      </c>
      <c r="M89">
        <f>IF($A89="","",COUNTIFS(Log!$A$2:$A$5000,$A89,Log!$F$2:$F$5000,"*→ "&amp;M$1&amp;"*"))</f>
        <v/>
      </c>
      <c r="N89">
        <f>IF($A89="","",COUNTIFS(Log!$A$2:$A$5000,$A89,Log!$F$2:$F$5000,"*→ "&amp;N$1&amp;"*"))</f>
        <v/>
      </c>
      <c r="O89">
        <f>IF($A89="","",COUNTIFS(Log!$A$2:$A$5000,$A89,Log!$F$2:$F$5000,"*→ "&amp;O$1&amp;"*"))</f>
        <v/>
      </c>
      <c r="P89">
        <f>IF($A89="","",COUNTIFS(Log!$A$2:$A$5000,$A89,Log!$F$2:$F$5000,"*→ "&amp;P$1&amp;"*"))</f>
        <v/>
      </c>
      <c r="Q89">
        <f>IF($A89="","",COUNTIFS(Log!$A$2:$A$5000,$A89,Log!$F$2:$F$5000,"*→ "&amp;Q$1&amp;"*"))</f>
        <v/>
      </c>
      <c r="R89">
        <f>IF($A89="","",COUNTIFS(Log!$A$2:$A$5000,$A89,Log!$F$2:$F$5000,"*→ "&amp;R$1&amp;"*"))</f>
        <v/>
      </c>
    </row>
    <row r="90">
      <c r="A90">
        <f>IF(Students!A90="","",Students!A90)</f>
        <v/>
      </c>
      <c r="B90">
        <f>IF($A90="","",COUNTIFS(Log!$A$2:$A$5000,$A90,Log!$F$2:$F$5000,"*→ "&amp;B$1&amp;"*"))</f>
        <v/>
      </c>
      <c r="C90">
        <f>IF($A90="","",COUNTIFS(Log!$A$2:$A$5000,$A90,Log!$F$2:$F$5000,"*→ "&amp;C$1&amp;"*"))</f>
        <v/>
      </c>
      <c r="D90">
        <f>IF($A90="","",COUNTIFS(Log!$A$2:$A$5000,$A90,Log!$F$2:$F$5000,"*→ "&amp;D$1&amp;"*"))</f>
        <v/>
      </c>
      <c r="E90">
        <f>IF($A90="","",COUNTIFS(Log!$A$2:$A$5000,$A90,Log!$F$2:$F$5000,"*→ "&amp;E$1&amp;"*"))</f>
        <v/>
      </c>
      <c r="F90">
        <f>IF($A90="","",COUNTIFS(Log!$A$2:$A$5000,$A90,Log!$F$2:$F$5000,"*→ "&amp;F$1&amp;"*"))</f>
        <v/>
      </c>
      <c r="G90">
        <f>IF($A90="","",COUNTIFS(Log!$A$2:$A$5000,$A90,Log!$F$2:$F$5000,"*→ "&amp;G$1&amp;"*"))</f>
        <v/>
      </c>
      <c r="H90">
        <f>IF($A90="","",COUNTIFS(Log!$A$2:$A$5000,$A90,Log!$F$2:$F$5000,"*→ "&amp;H$1&amp;"*"))</f>
        <v/>
      </c>
      <c r="I90">
        <f>IF($A90="","",COUNTIFS(Log!$A$2:$A$5000,$A90,Log!$F$2:$F$5000,"*→ "&amp;I$1&amp;"*"))</f>
        <v/>
      </c>
      <c r="J90">
        <f>IF($A90="","",COUNTIFS(Log!$A$2:$A$5000,$A90,Log!$F$2:$F$5000,"*→ "&amp;J$1&amp;"*"))</f>
        <v/>
      </c>
      <c r="K90">
        <f>IF($A90="","",COUNTIFS(Log!$A$2:$A$5000,$A90,Log!$F$2:$F$5000,"*→ "&amp;K$1&amp;"*"))</f>
        <v/>
      </c>
      <c r="L90">
        <f>IF($A90="","",COUNTIFS(Log!$A$2:$A$5000,$A90,Log!$F$2:$F$5000,"*→ "&amp;L$1&amp;"*"))</f>
        <v/>
      </c>
      <c r="M90">
        <f>IF($A90="","",COUNTIFS(Log!$A$2:$A$5000,$A90,Log!$F$2:$F$5000,"*→ "&amp;M$1&amp;"*"))</f>
        <v/>
      </c>
      <c r="N90">
        <f>IF($A90="","",COUNTIFS(Log!$A$2:$A$5000,$A90,Log!$F$2:$F$5000,"*→ "&amp;N$1&amp;"*"))</f>
        <v/>
      </c>
      <c r="O90">
        <f>IF($A90="","",COUNTIFS(Log!$A$2:$A$5000,$A90,Log!$F$2:$F$5000,"*→ "&amp;O$1&amp;"*"))</f>
        <v/>
      </c>
      <c r="P90">
        <f>IF($A90="","",COUNTIFS(Log!$A$2:$A$5000,$A90,Log!$F$2:$F$5000,"*→ "&amp;P$1&amp;"*"))</f>
        <v/>
      </c>
      <c r="Q90">
        <f>IF($A90="","",COUNTIFS(Log!$A$2:$A$5000,$A90,Log!$F$2:$F$5000,"*→ "&amp;Q$1&amp;"*"))</f>
        <v/>
      </c>
      <c r="R90">
        <f>IF($A90="","",COUNTIFS(Log!$A$2:$A$5000,$A90,Log!$F$2:$F$5000,"*→ "&amp;R$1&amp;"*"))</f>
        <v/>
      </c>
    </row>
    <row r="91">
      <c r="A91">
        <f>IF(Students!A91="","",Students!A91)</f>
        <v/>
      </c>
      <c r="B91">
        <f>IF($A91="","",COUNTIFS(Log!$A$2:$A$5000,$A91,Log!$F$2:$F$5000,"*→ "&amp;B$1&amp;"*"))</f>
        <v/>
      </c>
      <c r="C91">
        <f>IF($A91="","",COUNTIFS(Log!$A$2:$A$5000,$A91,Log!$F$2:$F$5000,"*→ "&amp;C$1&amp;"*"))</f>
        <v/>
      </c>
      <c r="D91">
        <f>IF($A91="","",COUNTIFS(Log!$A$2:$A$5000,$A91,Log!$F$2:$F$5000,"*→ "&amp;D$1&amp;"*"))</f>
        <v/>
      </c>
      <c r="E91">
        <f>IF($A91="","",COUNTIFS(Log!$A$2:$A$5000,$A91,Log!$F$2:$F$5000,"*→ "&amp;E$1&amp;"*"))</f>
        <v/>
      </c>
      <c r="F91">
        <f>IF($A91="","",COUNTIFS(Log!$A$2:$A$5000,$A91,Log!$F$2:$F$5000,"*→ "&amp;F$1&amp;"*"))</f>
        <v/>
      </c>
      <c r="G91">
        <f>IF($A91="","",COUNTIFS(Log!$A$2:$A$5000,$A91,Log!$F$2:$F$5000,"*→ "&amp;G$1&amp;"*"))</f>
        <v/>
      </c>
      <c r="H91">
        <f>IF($A91="","",COUNTIFS(Log!$A$2:$A$5000,$A91,Log!$F$2:$F$5000,"*→ "&amp;H$1&amp;"*"))</f>
        <v/>
      </c>
      <c r="I91">
        <f>IF($A91="","",COUNTIFS(Log!$A$2:$A$5000,$A91,Log!$F$2:$F$5000,"*→ "&amp;I$1&amp;"*"))</f>
        <v/>
      </c>
      <c r="J91">
        <f>IF($A91="","",COUNTIFS(Log!$A$2:$A$5000,$A91,Log!$F$2:$F$5000,"*→ "&amp;J$1&amp;"*"))</f>
        <v/>
      </c>
      <c r="K91">
        <f>IF($A91="","",COUNTIFS(Log!$A$2:$A$5000,$A91,Log!$F$2:$F$5000,"*→ "&amp;K$1&amp;"*"))</f>
        <v/>
      </c>
      <c r="L91">
        <f>IF($A91="","",COUNTIFS(Log!$A$2:$A$5000,$A91,Log!$F$2:$F$5000,"*→ "&amp;L$1&amp;"*"))</f>
        <v/>
      </c>
      <c r="M91">
        <f>IF($A91="","",COUNTIFS(Log!$A$2:$A$5000,$A91,Log!$F$2:$F$5000,"*→ "&amp;M$1&amp;"*"))</f>
        <v/>
      </c>
      <c r="N91">
        <f>IF($A91="","",COUNTIFS(Log!$A$2:$A$5000,$A91,Log!$F$2:$F$5000,"*→ "&amp;N$1&amp;"*"))</f>
        <v/>
      </c>
      <c r="O91">
        <f>IF($A91="","",COUNTIFS(Log!$A$2:$A$5000,$A91,Log!$F$2:$F$5000,"*→ "&amp;O$1&amp;"*"))</f>
        <v/>
      </c>
      <c r="P91">
        <f>IF($A91="","",COUNTIFS(Log!$A$2:$A$5000,$A91,Log!$F$2:$F$5000,"*→ "&amp;P$1&amp;"*"))</f>
        <v/>
      </c>
      <c r="Q91">
        <f>IF($A91="","",COUNTIFS(Log!$A$2:$A$5000,$A91,Log!$F$2:$F$5000,"*→ "&amp;Q$1&amp;"*"))</f>
        <v/>
      </c>
      <c r="R91">
        <f>IF($A91="","",COUNTIFS(Log!$A$2:$A$5000,$A91,Log!$F$2:$F$5000,"*→ "&amp;R$1&amp;"*"))</f>
        <v/>
      </c>
    </row>
    <row r="92">
      <c r="A92">
        <f>IF(Students!A92="","",Students!A92)</f>
        <v/>
      </c>
      <c r="B92">
        <f>IF($A92="","",COUNTIFS(Log!$A$2:$A$5000,$A92,Log!$F$2:$F$5000,"*→ "&amp;B$1&amp;"*"))</f>
        <v/>
      </c>
      <c r="C92">
        <f>IF($A92="","",COUNTIFS(Log!$A$2:$A$5000,$A92,Log!$F$2:$F$5000,"*→ "&amp;C$1&amp;"*"))</f>
        <v/>
      </c>
      <c r="D92">
        <f>IF($A92="","",COUNTIFS(Log!$A$2:$A$5000,$A92,Log!$F$2:$F$5000,"*→ "&amp;D$1&amp;"*"))</f>
        <v/>
      </c>
      <c r="E92">
        <f>IF($A92="","",COUNTIFS(Log!$A$2:$A$5000,$A92,Log!$F$2:$F$5000,"*→ "&amp;E$1&amp;"*"))</f>
        <v/>
      </c>
      <c r="F92">
        <f>IF($A92="","",COUNTIFS(Log!$A$2:$A$5000,$A92,Log!$F$2:$F$5000,"*→ "&amp;F$1&amp;"*"))</f>
        <v/>
      </c>
      <c r="G92">
        <f>IF($A92="","",COUNTIFS(Log!$A$2:$A$5000,$A92,Log!$F$2:$F$5000,"*→ "&amp;G$1&amp;"*"))</f>
        <v/>
      </c>
      <c r="H92">
        <f>IF($A92="","",COUNTIFS(Log!$A$2:$A$5000,$A92,Log!$F$2:$F$5000,"*→ "&amp;H$1&amp;"*"))</f>
        <v/>
      </c>
      <c r="I92">
        <f>IF($A92="","",COUNTIFS(Log!$A$2:$A$5000,$A92,Log!$F$2:$F$5000,"*→ "&amp;I$1&amp;"*"))</f>
        <v/>
      </c>
      <c r="J92">
        <f>IF($A92="","",COUNTIFS(Log!$A$2:$A$5000,$A92,Log!$F$2:$F$5000,"*→ "&amp;J$1&amp;"*"))</f>
        <v/>
      </c>
      <c r="K92">
        <f>IF($A92="","",COUNTIFS(Log!$A$2:$A$5000,$A92,Log!$F$2:$F$5000,"*→ "&amp;K$1&amp;"*"))</f>
        <v/>
      </c>
      <c r="L92">
        <f>IF($A92="","",COUNTIFS(Log!$A$2:$A$5000,$A92,Log!$F$2:$F$5000,"*→ "&amp;L$1&amp;"*"))</f>
        <v/>
      </c>
      <c r="M92">
        <f>IF($A92="","",COUNTIFS(Log!$A$2:$A$5000,$A92,Log!$F$2:$F$5000,"*→ "&amp;M$1&amp;"*"))</f>
        <v/>
      </c>
      <c r="N92">
        <f>IF($A92="","",COUNTIFS(Log!$A$2:$A$5000,$A92,Log!$F$2:$F$5000,"*→ "&amp;N$1&amp;"*"))</f>
        <v/>
      </c>
      <c r="O92">
        <f>IF($A92="","",COUNTIFS(Log!$A$2:$A$5000,$A92,Log!$F$2:$F$5000,"*→ "&amp;O$1&amp;"*"))</f>
        <v/>
      </c>
      <c r="P92">
        <f>IF($A92="","",COUNTIFS(Log!$A$2:$A$5000,$A92,Log!$F$2:$F$5000,"*→ "&amp;P$1&amp;"*"))</f>
        <v/>
      </c>
      <c r="Q92">
        <f>IF($A92="","",COUNTIFS(Log!$A$2:$A$5000,$A92,Log!$F$2:$F$5000,"*→ "&amp;Q$1&amp;"*"))</f>
        <v/>
      </c>
      <c r="R92">
        <f>IF($A92="","",COUNTIFS(Log!$A$2:$A$5000,$A92,Log!$F$2:$F$5000,"*→ "&amp;R$1&amp;"*"))</f>
        <v/>
      </c>
    </row>
    <row r="93">
      <c r="A93">
        <f>IF(Students!A93="","",Students!A93)</f>
        <v/>
      </c>
      <c r="B93">
        <f>IF($A93="","",COUNTIFS(Log!$A$2:$A$5000,$A93,Log!$F$2:$F$5000,"*→ "&amp;B$1&amp;"*"))</f>
        <v/>
      </c>
      <c r="C93">
        <f>IF($A93="","",COUNTIFS(Log!$A$2:$A$5000,$A93,Log!$F$2:$F$5000,"*→ "&amp;C$1&amp;"*"))</f>
        <v/>
      </c>
      <c r="D93">
        <f>IF($A93="","",COUNTIFS(Log!$A$2:$A$5000,$A93,Log!$F$2:$F$5000,"*→ "&amp;D$1&amp;"*"))</f>
        <v/>
      </c>
      <c r="E93">
        <f>IF($A93="","",COUNTIFS(Log!$A$2:$A$5000,$A93,Log!$F$2:$F$5000,"*→ "&amp;E$1&amp;"*"))</f>
        <v/>
      </c>
      <c r="F93">
        <f>IF($A93="","",COUNTIFS(Log!$A$2:$A$5000,$A93,Log!$F$2:$F$5000,"*→ "&amp;F$1&amp;"*"))</f>
        <v/>
      </c>
      <c r="G93">
        <f>IF($A93="","",COUNTIFS(Log!$A$2:$A$5000,$A93,Log!$F$2:$F$5000,"*→ "&amp;G$1&amp;"*"))</f>
        <v/>
      </c>
      <c r="H93">
        <f>IF($A93="","",COUNTIFS(Log!$A$2:$A$5000,$A93,Log!$F$2:$F$5000,"*→ "&amp;H$1&amp;"*"))</f>
        <v/>
      </c>
      <c r="I93">
        <f>IF($A93="","",COUNTIFS(Log!$A$2:$A$5000,$A93,Log!$F$2:$F$5000,"*→ "&amp;I$1&amp;"*"))</f>
        <v/>
      </c>
      <c r="J93">
        <f>IF($A93="","",COUNTIFS(Log!$A$2:$A$5000,$A93,Log!$F$2:$F$5000,"*→ "&amp;J$1&amp;"*"))</f>
        <v/>
      </c>
      <c r="K93">
        <f>IF($A93="","",COUNTIFS(Log!$A$2:$A$5000,$A93,Log!$F$2:$F$5000,"*→ "&amp;K$1&amp;"*"))</f>
        <v/>
      </c>
      <c r="L93">
        <f>IF($A93="","",COUNTIFS(Log!$A$2:$A$5000,$A93,Log!$F$2:$F$5000,"*→ "&amp;L$1&amp;"*"))</f>
        <v/>
      </c>
      <c r="M93">
        <f>IF($A93="","",COUNTIFS(Log!$A$2:$A$5000,$A93,Log!$F$2:$F$5000,"*→ "&amp;M$1&amp;"*"))</f>
        <v/>
      </c>
      <c r="N93">
        <f>IF($A93="","",COUNTIFS(Log!$A$2:$A$5000,$A93,Log!$F$2:$F$5000,"*→ "&amp;N$1&amp;"*"))</f>
        <v/>
      </c>
      <c r="O93">
        <f>IF($A93="","",COUNTIFS(Log!$A$2:$A$5000,$A93,Log!$F$2:$F$5000,"*→ "&amp;O$1&amp;"*"))</f>
        <v/>
      </c>
      <c r="P93">
        <f>IF($A93="","",COUNTIFS(Log!$A$2:$A$5000,$A93,Log!$F$2:$F$5000,"*→ "&amp;P$1&amp;"*"))</f>
        <v/>
      </c>
      <c r="Q93">
        <f>IF($A93="","",COUNTIFS(Log!$A$2:$A$5000,$A93,Log!$F$2:$F$5000,"*→ "&amp;Q$1&amp;"*"))</f>
        <v/>
      </c>
      <c r="R93">
        <f>IF($A93="","",COUNTIFS(Log!$A$2:$A$5000,$A93,Log!$F$2:$F$5000,"*→ "&amp;R$1&amp;"*"))</f>
        <v/>
      </c>
    </row>
    <row r="94">
      <c r="A94">
        <f>IF(Students!A94="","",Students!A94)</f>
        <v/>
      </c>
      <c r="B94">
        <f>IF($A94="","",COUNTIFS(Log!$A$2:$A$5000,$A94,Log!$F$2:$F$5000,"*→ "&amp;B$1&amp;"*"))</f>
        <v/>
      </c>
      <c r="C94">
        <f>IF($A94="","",COUNTIFS(Log!$A$2:$A$5000,$A94,Log!$F$2:$F$5000,"*→ "&amp;C$1&amp;"*"))</f>
        <v/>
      </c>
      <c r="D94">
        <f>IF($A94="","",COUNTIFS(Log!$A$2:$A$5000,$A94,Log!$F$2:$F$5000,"*→ "&amp;D$1&amp;"*"))</f>
        <v/>
      </c>
      <c r="E94">
        <f>IF($A94="","",COUNTIFS(Log!$A$2:$A$5000,$A94,Log!$F$2:$F$5000,"*→ "&amp;E$1&amp;"*"))</f>
        <v/>
      </c>
      <c r="F94">
        <f>IF($A94="","",COUNTIFS(Log!$A$2:$A$5000,$A94,Log!$F$2:$F$5000,"*→ "&amp;F$1&amp;"*"))</f>
        <v/>
      </c>
      <c r="G94">
        <f>IF($A94="","",COUNTIFS(Log!$A$2:$A$5000,$A94,Log!$F$2:$F$5000,"*→ "&amp;G$1&amp;"*"))</f>
        <v/>
      </c>
      <c r="H94">
        <f>IF($A94="","",COUNTIFS(Log!$A$2:$A$5000,$A94,Log!$F$2:$F$5000,"*→ "&amp;H$1&amp;"*"))</f>
        <v/>
      </c>
      <c r="I94">
        <f>IF($A94="","",COUNTIFS(Log!$A$2:$A$5000,$A94,Log!$F$2:$F$5000,"*→ "&amp;I$1&amp;"*"))</f>
        <v/>
      </c>
      <c r="J94">
        <f>IF($A94="","",COUNTIFS(Log!$A$2:$A$5000,$A94,Log!$F$2:$F$5000,"*→ "&amp;J$1&amp;"*"))</f>
        <v/>
      </c>
      <c r="K94">
        <f>IF($A94="","",COUNTIFS(Log!$A$2:$A$5000,$A94,Log!$F$2:$F$5000,"*→ "&amp;K$1&amp;"*"))</f>
        <v/>
      </c>
      <c r="L94">
        <f>IF($A94="","",COUNTIFS(Log!$A$2:$A$5000,$A94,Log!$F$2:$F$5000,"*→ "&amp;L$1&amp;"*"))</f>
        <v/>
      </c>
      <c r="M94">
        <f>IF($A94="","",COUNTIFS(Log!$A$2:$A$5000,$A94,Log!$F$2:$F$5000,"*→ "&amp;M$1&amp;"*"))</f>
        <v/>
      </c>
      <c r="N94">
        <f>IF($A94="","",COUNTIFS(Log!$A$2:$A$5000,$A94,Log!$F$2:$F$5000,"*→ "&amp;N$1&amp;"*"))</f>
        <v/>
      </c>
      <c r="O94">
        <f>IF($A94="","",COUNTIFS(Log!$A$2:$A$5000,$A94,Log!$F$2:$F$5000,"*→ "&amp;O$1&amp;"*"))</f>
        <v/>
      </c>
      <c r="P94">
        <f>IF($A94="","",COUNTIFS(Log!$A$2:$A$5000,$A94,Log!$F$2:$F$5000,"*→ "&amp;P$1&amp;"*"))</f>
        <v/>
      </c>
      <c r="Q94">
        <f>IF($A94="","",COUNTIFS(Log!$A$2:$A$5000,$A94,Log!$F$2:$F$5000,"*→ "&amp;Q$1&amp;"*"))</f>
        <v/>
      </c>
      <c r="R94">
        <f>IF($A94="","",COUNTIFS(Log!$A$2:$A$5000,$A94,Log!$F$2:$F$5000,"*→ "&amp;R$1&amp;"*"))</f>
        <v/>
      </c>
    </row>
    <row r="95">
      <c r="A95">
        <f>IF(Students!A95="","",Students!A95)</f>
        <v/>
      </c>
      <c r="B95">
        <f>IF($A95="","",COUNTIFS(Log!$A$2:$A$5000,$A95,Log!$F$2:$F$5000,"*→ "&amp;B$1&amp;"*"))</f>
        <v/>
      </c>
      <c r="C95">
        <f>IF($A95="","",COUNTIFS(Log!$A$2:$A$5000,$A95,Log!$F$2:$F$5000,"*→ "&amp;C$1&amp;"*"))</f>
        <v/>
      </c>
      <c r="D95">
        <f>IF($A95="","",COUNTIFS(Log!$A$2:$A$5000,$A95,Log!$F$2:$F$5000,"*→ "&amp;D$1&amp;"*"))</f>
        <v/>
      </c>
      <c r="E95">
        <f>IF($A95="","",COUNTIFS(Log!$A$2:$A$5000,$A95,Log!$F$2:$F$5000,"*→ "&amp;E$1&amp;"*"))</f>
        <v/>
      </c>
      <c r="F95">
        <f>IF($A95="","",COUNTIFS(Log!$A$2:$A$5000,$A95,Log!$F$2:$F$5000,"*→ "&amp;F$1&amp;"*"))</f>
        <v/>
      </c>
      <c r="G95">
        <f>IF($A95="","",COUNTIFS(Log!$A$2:$A$5000,$A95,Log!$F$2:$F$5000,"*→ "&amp;G$1&amp;"*"))</f>
        <v/>
      </c>
      <c r="H95">
        <f>IF($A95="","",COUNTIFS(Log!$A$2:$A$5000,$A95,Log!$F$2:$F$5000,"*→ "&amp;H$1&amp;"*"))</f>
        <v/>
      </c>
      <c r="I95">
        <f>IF($A95="","",COUNTIFS(Log!$A$2:$A$5000,$A95,Log!$F$2:$F$5000,"*→ "&amp;I$1&amp;"*"))</f>
        <v/>
      </c>
      <c r="J95">
        <f>IF($A95="","",COUNTIFS(Log!$A$2:$A$5000,$A95,Log!$F$2:$F$5000,"*→ "&amp;J$1&amp;"*"))</f>
        <v/>
      </c>
      <c r="K95">
        <f>IF($A95="","",COUNTIFS(Log!$A$2:$A$5000,$A95,Log!$F$2:$F$5000,"*→ "&amp;K$1&amp;"*"))</f>
        <v/>
      </c>
      <c r="L95">
        <f>IF($A95="","",COUNTIFS(Log!$A$2:$A$5000,$A95,Log!$F$2:$F$5000,"*→ "&amp;L$1&amp;"*"))</f>
        <v/>
      </c>
      <c r="M95">
        <f>IF($A95="","",COUNTIFS(Log!$A$2:$A$5000,$A95,Log!$F$2:$F$5000,"*→ "&amp;M$1&amp;"*"))</f>
        <v/>
      </c>
      <c r="N95">
        <f>IF($A95="","",COUNTIFS(Log!$A$2:$A$5000,$A95,Log!$F$2:$F$5000,"*→ "&amp;N$1&amp;"*"))</f>
        <v/>
      </c>
      <c r="O95">
        <f>IF($A95="","",COUNTIFS(Log!$A$2:$A$5000,$A95,Log!$F$2:$F$5000,"*→ "&amp;O$1&amp;"*"))</f>
        <v/>
      </c>
      <c r="P95">
        <f>IF($A95="","",COUNTIFS(Log!$A$2:$A$5000,$A95,Log!$F$2:$F$5000,"*→ "&amp;P$1&amp;"*"))</f>
        <v/>
      </c>
      <c r="Q95">
        <f>IF($A95="","",COUNTIFS(Log!$A$2:$A$5000,$A95,Log!$F$2:$F$5000,"*→ "&amp;Q$1&amp;"*"))</f>
        <v/>
      </c>
      <c r="R95">
        <f>IF($A95="","",COUNTIFS(Log!$A$2:$A$5000,$A95,Log!$F$2:$F$5000,"*→ "&amp;R$1&amp;"*"))</f>
        <v/>
      </c>
    </row>
    <row r="96">
      <c r="A96">
        <f>IF(Students!A96="","",Students!A96)</f>
        <v/>
      </c>
      <c r="B96">
        <f>IF($A96="","",COUNTIFS(Log!$A$2:$A$5000,$A96,Log!$F$2:$F$5000,"*→ "&amp;B$1&amp;"*"))</f>
        <v/>
      </c>
      <c r="C96">
        <f>IF($A96="","",COUNTIFS(Log!$A$2:$A$5000,$A96,Log!$F$2:$F$5000,"*→ "&amp;C$1&amp;"*"))</f>
        <v/>
      </c>
      <c r="D96">
        <f>IF($A96="","",COUNTIFS(Log!$A$2:$A$5000,$A96,Log!$F$2:$F$5000,"*→ "&amp;D$1&amp;"*"))</f>
        <v/>
      </c>
      <c r="E96">
        <f>IF($A96="","",COUNTIFS(Log!$A$2:$A$5000,$A96,Log!$F$2:$F$5000,"*→ "&amp;E$1&amp;"*"))</f>
        <v/>
      </c>
      <c r="F96">
        <f>IF($A96="","",COUNTIFS(Log!$A$2:$A$5000,$A96,Log!$F$2:$F$5000,"*→ "&amp;F$1&amp;"*"))</f>
        <v/>
      </c>
      <c r="G96">
        <f>IF($A96="","",COUNTIFS(Log!$A$2:$A$5000,$A96,Log!$F$2:$F$5000,"*→ "&amp;G$1&amp;"*"))</f>
        <v/>
      </c>
      <c r="H96">
        <f>IF($A96="","",COUNTIFS(Log!$A$2:$A$5000,$A96,Log!$F$2:$F$5000,"*→ "&amp;H$1&amp;"*"))</f>
        <v/>
      </c>
      <c r="I96">
        <f>IF($A96="","",COUNTIFS(Log!$A$2:$A$5000,$A96,Log!$F$2:$F$5000,"*→ "&amp;I$1&amp;"*"))</f>
        <v/>
      </c>
      <c r="J96">
        <f>IF($A96="","",COUNTIFS(Log!$A$2:$A$5000,$A96,Log!$F$2:$F$5000,"*→ "&amp;J$1&amp;"*"))</f>
        <v/>
      </c>
      <c r="K96">
        <f>IF($A96="","",COUNTIFS(Log!$A$2:$A$5000,$A96,Log!$F$2:$F$5000,"*→ "&amp;K$1&amp;"*"))</f>
        <v/>
      </c>
      <c r="L96">
        <f>IF($A96="","",COUNTIFS(Log!$A$2:$A$5000,$A96,Log!$F$2:$F$5000,"*→ "&amp;L$1&amp;"*"))</f>
        <v/>
      </c>
      <c r="M96">
        <f>IF($A96="","",COUNTIFS(Log!$A$2:$A$5000,$A96,Log!$F$2:$F$5000,"*→ "&amp;M$1&amp;"*"))</f>
        <v/>
      </c>
      <c r="N96">
        <f>IF($A96="","",COUNTIFS(Log!$A$2:$A$5000,$A96,Log!$F$2:$F$5000,"*→ "&amp;N$1&amp;"*"))</f>
        <v/>
      </c>
      <c r="O96">
        <f>IF($A96="","",COUNTIFS(Log!$A$2:$A$5000,$A96,Log!$F$2:$F$5000,"*→ "&amp;O$1&amp;"*"))</f>
        <v/>
      </c>
      <c r="P96">
        <f>IF($A96="","",COUNTIFS(Log!$A$2:$A$5000,$A96,Log!$F$2:$F$5000,"*→ "&amp;P$1&amp;"*"))</f>
        <v/>
      </c>
      <c r="Q96">
        <f>IF($A96="","",COUNTIFS(Log!$A$2:$A$5000,$A96,Log!$F$2:$F$5000,"*→ "&amp;Q$1&amp;"*"))</f>
        <v/>
      </c>
      <c r="R96">
        <f>IF($A96="","",COUNTIFS(Log!$A$2:$A$5000,$A96,Log!$F$2:$F$5000,"*→ "&amp;R$1&amp;"*"))</f>
        <v/>
      </c>
    </row>
    <row r="97">
      <c r="A97">
        <f>IF(Students!A97="","",Students!A97)</f>
        <v/>
      </c>
      <c r="B97">
        <f>IF($A97="","",COUNTIFS(Log!$A$2:$A$5000,$A97,Log!$F$2:$F$5000,"*→ "&amp;B$1&amp;"*"))</f>
        <v/>
      </c>
      <c r="C97">
        <f>IF($A97="","",COUNTIFS(Log!$A$2:$A$5000,$A97,Log!$F$2:$F$5000,"*→ "&amp;C$1&amp;"*"))</f>
        <v/>
      </c>
      <c r="D97">
        <f>IF($A97="","",COUNTIFS(Log!$A$2:$A$5000,$A97,Log!$F$2:$F$5000,"*→ "&amp;D$1&amp;"*"))</f>
        <v/>
      </c>
      <c r="E97">
        <f>IF($A97="","",COUNTIFS(Log!$A$2:$A$5000,$A97,Log!$F$2:$F$5000,"*→ "&amp;E$1&amp;"*"))</f>
        <v/>
      </c>
      <c r="F97">
        <f>IF($A97="","",COUNTIFS(Log!$A$2:$A$5000,$A97,Log!$F$2:$F$5000,"*→ "&amp;F$1&amp;"*"))</f>
        <v/>
      </c>
      <c r="G97">
        <f>IF($A97="","",COUNTIFS(Log!$A$2:$A$5000,$A97,Log!$F$2:$F$5000,"*→ "&amp;G$1&amp;"*"))</f>
        <v/>
      </c>
      <c r="H97">
        <f>IF($A97="","",COUNTIFS(Log!$A$2:$A$5000,$A97,Log!$F$2:$F$5000,"*→ "&amp;H$1&amp;"*"))</f>
        <v/>
      </c>
      <c r="I97">
        <f>IF($A97="","",COUNTIFS(Log!$A$2:$A$5000,$A97,Log!$F$2:$F$5000,"*→ "&amp;I$1&amp;"*"))</f>
        <v/>
      </c>
      <c r="J97">
        <f>IF($A97="","",COUNTIFS(Log!$A$2:$A$5000,$A97,Log!$F$2:$F$5000,"*→ "&amp;J$1&amp;"*"))</f>
        <v/>
      </c>
      <c r="K97">
        <f>IF($A97="","",COUNTIFS(Log!$A$2:$A$5000,$A97,Log!$F$2:$F$5000,"*→ "&amp;K$1&amp;"*"))</f>
        <v/>
      </c>
      <c r="L97">
        <f>IF($A97="","",COUNTIFS(Log!$A$2:$A$5000,$A97,Log!$F$2:$F$5000,"*→ "&amp;L$1&amp;"*"))</f>
        <v/>
      </c>
      <c r="M97">
        <f>IF($A97="","",COUNTIFS(Log!$A$2:$A$5000,$A97,Log!$F$2:$F$5000,"*→ "&amp;M$1&amp;"*"))</f>
        <v/>
      </c>
      <c r="N97">
        <f>IF($A97="","",COUNTIFS(Log!$A$2:$A$5000,$A97,Log!$F$2:$F$5000,"*→ "&amp;N$1&amp;"*"))</f>
        <v/>
      </c>
      <c r="O97">
        <f>IF($A97="","",COUNTIFS(Log!$A$2:$A$5000,$A97,Log!$F$2:$F$5000,"*→ "&amp;O$1&amp;"*"))</f>
        <v/>
      </c>
      <c r="P97">
        <f>IF($A97="","",COUNTIFS(Log!$A$2:$A$5000,$A97,Log!$F$2:$F$5000,"*→ "&amp;P$1&amp;"*"))</f>
        <v/>
      </c>
      <c r="Q97">
        <f>IF($A97="","",COUNTIFS(Log!$A$2:$A$5000,$A97,Log!$F$2:$F$5000,"*→ "&amp;Q$1&amp;"*"))</f>
        <v/>
      </c>
      <c r="R97">
        <f>IF($A97="","",COUNTIFS(Log!$A$2:$A$5000,$A97,Log!$F$2:$F$5000,"*→ "&amp;R$1&amp;"*"))</f>
        <v/>
      </c>
    </row>
    <row r="98">
      <c r="A98">
        <f>IF(Students!A98="","",Students!A98)</f>
        <v/>
      </c>
      <c r="B98">
        <f>IF($A98="","",COUNTIFS(Log!$A$2:$A$5000,$A98,Log!$F$2:$F$5000,"*→ "&amp;B$1&amp;"*"))</f>
        <v/>
      </c>
      <c r="C98">
        <f>IF($A98="","",COUNTIFS(Log!$A$2:$A$5000,$A98,Log!$F$2:$F$5000,"*→ "&amp;C$1&amp;"*"))</f>
        <v/>
      </c>
      <c r="D98">
        <f>IF($A98="","",COUNTIFS(Log!$A$2:$A$5000,$A98,Log!$F$2:$F$5000,"*→ "&amp;D$1&amp;"*"))</f>
        <v/>
      </c>
      <c r="E98">
        <f>IF($A98="","",COUNTIFS(Log!$A$2:$A$5000,$A98,Log!$F$2:$F$5000,"*→ "&amp;E$1&amp;"*"))</f>
        <v/>
      </c>
      <c r="F98">
        <f>IF($A98="","",COUNTIFS(Log!$A$2:$A$5000,$A98,Log!$F$2:$F$5000,"*→ "&amp;F$1&amp;"*"))</f>
        <v/>
      </c>
      <c r="G98">
        <f>IF($A98="","",COUNTIFS(Log!$A$2:$A$5000,$A98,Log!$F$2:$F$5000,"*→ "&amp;G$1&amp;"*"))</f>
        <v/>
      </c>
      <c r="H98">
        <f>IF($A98="","",COUNTIFS(Log!$A$2:$A$5000,$A98,Log!$F$2:$F$5000,"*→ "&amp;H$1&amp;"*"))</f>
        <v/>
      </c>
      <c r="I98">
        <f>IF($A98="","",COUNTIFS(Log!$A$2:$A$5000,$A98,Log!$F$2:$F$5000,"*→ "&amp;I$1&amp;"*"))</f>
        <v/>
      </c>
      <c r="J98">
        <f>IF($A98="","",COUNTIFS(Log!$A$2:$A$5000,$A98,Log!$F$2:$F$5000,"*→ "&amp;J$1&amp;"*"))</f>
        <v/>
      </c>
      <c r="K98">
        <f>IF($A98="","",COUNTIFS(Log!$A$2:$A$5000,$A98,Log!$F$2:$F$5000,"*→ "&amp;K$1&amp;"*"))</f>
        <v/>
      </c>
      <c r="L98">
        <f>IF($A98="","",COUNTIFS(Log!$A$2:$A$5000,$A98,Log!$F$2:$F$5000,"*→ "&amp;L$1&amp;"*"))</f>
        <v/>
      </c>
      <c r="M98">
        <f>IF($A98="","",COUNTIFS(Log!$A$2:$A$5000,$A98,Log!$F$2:$F$5000,"*→ "&amp;M$1&amp;"*"))</f>
        <v/>
      </c>
      <c r="N98">
        <f>IF($A98="","",COUNTIFS(Log!$A$2:$A$5000,$A98,Log!$F$2:$F$5000,"*→ "&amp;N$1&amp;"*"))</f>
        <v/>
      </c>
      <c r="O98">
        <f>IF($A98="","",COUNTIFS(Log!$A$2:$A$5000,$A98,Log!$F$2:$F$5000,"*→ "&amp;O$1&amp;"*"))</f>
        <v/>
      </c>
      <c r="P98">
        <f>IF($A98="","",COUNTIFS(Log!$A$2:$A$5000,$A98,Log!$F$2:$F$5000,"*→ "&amp;P$1&amp;"*"))</f>
        <v/>
      </c>
      <c r="Q98">
        <f>IF($A98="","",COUNTIFS(Log!$A$2:$A$5000,$A98,Log!$F$2:$F$5000,"*→ "&amp;Q$1&amp;"*"))</f>
        <v/>
      </c>
      <c r="R98">
        <f>IF($A98="","",COUNTIFS(Log!$A$2:$A$5000,$A98,Log!$F$2:$F$5000,"*→ "&amp;R$1&amp;"*"))</f>
        <v/>
      </c>
    </row>
    <row r="99">
      <c r="A99">
        <f>IF(Students!A99="","",Students!A99)</f>
        <v/>
      </c>
      <c r="B99">
        <f>IF($A99="","",COUNTIFS(Log!$A$2:$A$5000,$A99,Log!$F$2:$F$5000,"*→ "&amp;B$1&amp;"*"))</f>
        <v/>
      </c>
      <c r="C99">
        <f>IF($A99="","",COUNTIFS(Log!$A$2:$A$5000,$A99,Log!$F$2:$F$5000,"*→ "&amp;C$1&amp;"*"))</f>
        <v/>
      </c>
      <c r="D99">
        <f>IF($A99="","",COUNTIFS(Log!$A$2:$A$5000,$A99,Log!$F$2:$F$5000,"*→ "&amp;D$1&amp;"*"))</f>
        <v/>
      </c>
      <c r="E99">
        <f>IF($A99="","",COUNTIFS(Log!$A$2:$A$5000,$A99,Log!$F$2:$F$5000,"*→ "&amp;E$1&amp;"*"))</f>
        <v/>
      </c>
      <c r="F99">
        <f>IF($A99="","",COUNTIFS(Log!$A$2:$A$5000,$A99,Log!$F$2:$F$5000,"*→ "&amp;F$1&amp;"*"))</f>
        <v/>
      </c>
      <c r="G99">
        <f>IF($A99="","",COUNTIFS(Log!$A$2:$A$5000,$A99,Log!$F$2:$F$5000,"*→ "&amp;G$1&amp;"*"))</f>
        <v/>
      </c>
      <c r="H99">
        <f>IF($A99="","",COUNTIFS(Log!$A$2:$A$5000,$A99,Log!$F$2:$F$5000,"*→ "&amp;H$1&amp;"*"))</f>
        <v/>
      </c>
      <c r="I99">
        <f>IF($A99="","",COUNTIFS(Log!$A$2:$A$5000,$A99,Log!$F$2:$F$5000,"*→ "&amp;I$1&amp;"*"))</f>
        <v/>
      </c>
      <c r="J99">
        <f>IF($A99="","",COUNTIFS(Log!$A$2:$A$5000,$A99,Log!$F$2:$F$5000,"*→ "&amp;J$1&amp;"*"))</f>
        <v/>
      </c>
      <c r="K99">
        <f>IF($A99="","",COUNTIFS(Log!$A$2:$A$5000,$A99,Log!$F$2:$F$5000,"*→ "&amp;K$1&amp;"*"))</f>
        <v/>
      </c>
      <c r="L99">
        <f>IF($A99="","",COUNTIFS(Log!$A$2:$A$5000,$A99,Log!$F$2:$F$5000,"*→ "&amp;L$1&amp;"*"))</f>
        <v/>
      </c>
      <c r="M99">
        <f>IF($A99="","",COUNTIFS(Log!$A$2:$A$5000,$A99,Log!$F$2:$F$5000,"*→ "&amp;M$1&amp;"*"))</f>
        <v/>
      </c>
      <c r="N99">
        <f>IF($A99="","",COUNTIFS(Log!$A$2:$A$5000,$A99,Log!$F$2:$F$5000,"*→ "&amp;N$1&amp;"*"))</f>
        <v/>
      </c>
      <c r="O99">
        <f>IF($A99="","",COUNTIFS(Log!$A$2:$A$5000,$A99,Log!$F$2:$F$5000,"*→ "&amp;O$1&amp;"*"))</f>
        <v/>
      </c>
      <c r="P99">
        <f>IF($A99="","",COUNTIFS(Log!$A$2:$A$5000,$A99,Log!$F$2:$F$5000,"*→ "&amp;P$1&amp;"*"))</f>
        <v/>
      </c>
      <c r="Q99">
        <f>IF($A99="","",COUNTIFS(Log!$A$2:$A$5000,$A99,Log!$F$2:$F$5000,"*→ "&amp;Q$1&amp;"*"))</f>
        <v/>
      </c>
      <c r="R99">
        <f>IF($A99="","",COUNTIFS(Log!$A$2:$A$5000,$A99,Log!$F$2:$F$5000,"*→ "&amp;R$1&amp;"*"))</f>
        <v/>
      </c>
    </row>
    <row r="100">
      <c r="A100">
        <f>IF(Students!A100="","",Students!A100)</f>
        <v/>
      </c>
      <c r="B100">
        <f>IF($A100="","",COUNTIFS(Log!$A$2:$A$5000,$A100,Log!$F$2:$F$5000,"*→ "&amp;B$1&amp;"*"))</f>
        <v/>
      </c>
      <c r="C100">
        <f>IF($A100="","",COUNTIFS(Log!$A$2:$A$5000,$A100,Log!$F$2:$F$5000,"*→ "&amp;C$1&amp;"*"))</f>
        <v/>
      </c>
      <c r="D100">
        <f>IF($A100="","",COUNTIFS(Log!$A$2:$A$5000,$A100,Log!$F$2:$F$5000,"*→ "&amp;D$1&amp;"*"))</f>
        <v/>
      </c>
      <c r="E100">
        <f>IF($A100="","",COUNTIFS(Log!$A$2:$A$5000,$A100,Log!$F$2:$F$5000,"*→ "&amp;E$1&amp;"*"))</f>
        <v/>
      </c>
      <c r="F100">
        <f>IF($A100="","",COUNTIFS(Log!$A$2:$A$5000,$A100,Log!$F$2:$F$5000,"*→ "&amp;F$1&amp;"*"))</f>
        <v/>
      </c>
      <c r="G100">
        <f>IF($A100="","",COUNTIFS(Log!$A$2:$A$5000,$A100,Log!$F$2:$F$5000,"*→ "&amp;G$1&amp;"*"))</f>
        <v/>
      </c>
      <c r="H100">
        <f>IF($A100="","",COUNTIFS(Log!$A$2:$A$5000,$A100,Log!$F$2:$F$5000,"*→ "&amp;H$1&amp;"*"))</f>
        <v/>
      </c>
      <c r="I100">
        <f>IF($A100="","",COUNTIFS(Log!$A$2:$A$5000,$A100,Log!$F$2:$F$5000,"*→ "&amp;I$1&amp;"*"))</f>
        <v/>
      </c>
      <c r="J100">
        <f>IF($A100="","",COUNTIFS(Log!$A$2:$A$5000,$A100,Log!$F$2:$F$5000,"*→ "&amp;J$1&amp;"*"))</f>
        <v/>
      </c>
      <c r="K100">
        <f>IF($A100="","",COUNTIFS(Log!$A$2:$A$5000,$A100,Log!$F$2:$F$5000,"*→ "&amp;K$1&amp;"*"))</f>
        <v/>
      </c>
      <c r="L100">
        <f>IF($A100="","",COUNTIFS(Log!$A$2:$A$5000,$A100,Log!$F$2:$F$5000,"*→ "&amp;L$1&amp;"*"))</f>
        <v/>
      </c>
      <c r="M100">
        <f>IF($A100="","",COUNTIFS(Log!$A$2:$A$5000,$A100,Log!$F$2:$F$5000,"*→ "&amp;M$1&amp;"*"))</f>
        <v/>
      </c>
      <c r="N100">
        <f>IF($A100="","",COUNTIFS(Log!$A$2:$A$5000,$A100,Log!$F$2:$F$5000,"*→ "&amp;N$1&amp;"*"))</f>
        <v/>
      </c>
      <c r="O100">
        <f>IF($A100="","",COUNTIFS(Log!$A$2:$A$5000,$A100,Log!$F$2:$F$5000,"*→ "&amp;O$1&amp;"*"))</f>
        <v/>
      </c>
      <c r="P100">
        <f>IF($A100="","",COUNTIFS(Log!$A$2:$A$5000,$A100,Log!$F$2:$F$5000,"*→ "&amp;P$1&amp;"*"))</f>
        <v/>
      </c>
      <c r="Q100">
        <f>IF($A100="","",COUNTIFS(Log!$A$2:$A$5000,$A100,Log!$F$2:$F$5000,"*→ "&amp;Q$1&amp;"*"))</f>
        <v/>
      </c>
      <c r="R100">
        <f>IF($A100="","",COUNTIFS(Log!$A$2:$A$5000,$A100,Log!$F$2:$F$5000,"*→ "&amp;R$1&amp;"*"))</f>
        <v/>
      </c>
    </row>
    <row r="101">
      <c r="A101">
        <f>IF(Students!A101="","",Students!A101)</f>
        <v/>
      </c>
      <c r="B101">
        <f>IF($A101="","",COUNTIFS(Log!$A$2:$A$5000,$A101,Log!$F$2:$F$5000,"*→ "&amp;B$1&amp;"*"))</f>
        <v/>
      </c>
      <c r="C101">
        <f>IF($A101="","",COUNTIFS(Log!$A$2:$A$5000,$A101,Log!$F$2:$F$5000,"*→ "&amp;C$1&amp;"*"))</f>
        <v/>
      </c>
      <c r="D101">
        <f>IF($A101="","",COUNTIFS(Log!$A$2:$A$5000,$A101,Log!$F$2:$F$5000,"*→ "&amp;D$1&amp;"*"))</f>
        <v/>
      </c>
      <c r="E101">
        <f>IF($A101="","",COUNTIFS(Log!$A$2:$A$5000,$A101,Log!$F$2:$F$5000,"*→ "&amp;E$1&amp;"*"))</f>
        <v/>
      </c>
      <c r="F101">
        <f>IF($A101="","",COUNTIFS(Log!$A$2:$A$5000,$A101,Log!$F$2:$F$5000,"*→ "&amp;F$1&amp;"*"))</f>
        <v/>
      </c>
      <c r="G101">
        <f>IF($A101="","",COUNTIFS(Log!$A$2:$A$5000,$A101,Log!$F$2:$F$5000,"*→ "&amp;G$1&amp;"*"))</f>
        <v/>
      </c>
      <c r="H101">
        <f>IF($A101="","",COUNTIFS(Log!$A$2:$A$5000,$A101,Log!$F$2:$F$5000,"*→ "&amp;H$1&amp;"*"))</f>
        <v/>
      </c>
      <c r="I101">
        <f>IF($A101="","",COUNTIFS(Log!$A$2:$A$5000,$A101,Log!$F$2:$F$5000,"*→ "&amp;I$1&amp;"*"))</f>
        <v/>
      </c>
      <c r="J101">
        <f>IF($A101="","",COUNTIFS(Log!$A$2:$A$5000,$A101,Log!$F$2:$F$5000,"*→ "&amp;J$1&amp;"*"))</f>
        <v/>
      </c>
      <c r="K101">
        <f>IF($A101="","",COUNTIFS(Log!$A$2:$A$5000,$A101,Log!$F$2:$F$5000,"*→ "&amp;K$1&amp;"*"))</f>
        <v/>
      </c>
      <c r="L101">
        <f>IF($A101="","",COUNTIFS(Log!$A$2:$A$5000,$A101,Log!$F$2:$F$5000,"*→ "&amp;L$1&amp;"*"))</f>
        <v/>
      </c>
      <c r="M101">
        <f>IF($A101="","",COUNTIFS(Log!$A$2:$A$5000,$A101,Log!$F$2:$F$5000,"*→ "&amp;M$1&amp;"*"))</f>
        <v/>
      </c>
      <c r="N101">
        <f>IF($A101="","",COUNTIFS(Log!$A$2:$A$5000,$A101,Log!$F$2:$F$5000,"*→ "&amp;N$1&amp;"*"))</f>
        <v/>
      </c>
      <c r="O101">
        <f>IF($A101="","",COUNTIFS(Log!$A$2:$A$5000,$A101,Log!$F$2:$F$5000,"*→ "&amp;O$1&amp;"*"))</f>
        <v/>
      </c>
      <c r="P101">
        <f>IF($A101="","",COUNTIFS(Log!$A$2:$A$5000,$A101,Log!$F$2:$F$5000,"*→ "&amp;P$1&amp;"*"))</f>
        <v/>
      </c>
      <c r="Q101">
        <f>IF($A101="","",COUNTIFS(Log!$A$2:$A$5000,$A101,Log!$F$2:$F$5000,"*→ "&amp;Q$1&amp;"*"))</f>
        <v/>
      </c>
      <c r="R101">
        <f>IF($A101="","",COUNTIFS(Log!$A$2:$A$5000,$A101,Log!$F$2:$F$5000,"*→ "&amp;R$1&amp;"*"))</f>
        <v/>
      </c>
    </row>
    <row r="102">
      <c r="A102">
        <f>IF(Students!A102="","",Students!A102)</f>
        <v/>
      </c>
      <c r="B102">
        <f>IF($A102="","",COUNTIFS(Log!$A$2:$A$5000,$A102,Log!$F$2:$F$5000,"*→ "&amp;B$1&amp;"*"))</f>
        <v/>
      </c>
      <c r="C102">
        <f>IF($A102="","",COUNTIFS(Log!$A$2:$A$5000,$A102,Log!$F$2:$F$5000,"*→ "&amp;C$1&amp;"*"))</f>
        <v/>
      </c>
      <c r="D102">
        <f>IF($A102="","",COUNTIFS(Log!$A$2:$A$5000,$A102,Log!$F$2:$F$5000,"*→ "&amp;D$1&amp;"*"))</f>
        <v/>
      </c>
      <c r="E102">
        <f>IF($A102="","",COUNTIFS(Log!$A$2:$A$5000,$A102,Log!$F$2:$F$5000,"*→ "&amp;E$1&amp;"*"))</f>
        <v/>
      </c>
      <c r="F102">
        <f>IF($A102="","",COUNTIFS(Log!$A$2:$A$5000,$A102,Log!$F$2:$F$5000,"*→ "&amp;F$1&amp;"*"))</f>
        <v/>
      </c>
      <c r="G102">
        <f>IF($A102="","",COUNTIFS(Log!$A$2:$A$5000,$A102,Log!$F$2:$F$5000,"*→ "&amp;G$1&amp;"*"))</f>
        <v/>
      </c>
      <c r="H102">
        <f>IF($A102="","",COUNTIFS(Log!$A$2:$A$5000,$A102,Log!$F$2:$F$5000,"*→ "&amp;H$1&amp;"*"))</f>
        <v/>
      </c>
      <c r="I102">
        <f>IF($A102="","",COUNTIFS(Log!$A$2:$A$5000,$A102,Log!$F$2:$F$5000,"*→ "&amp;I$1&amp;"*"))</f>
        <v/>
      </c>
      <c r="J102">
        <f>IF($A102="","",COUNTIFS(Log!$A$2:$A$5000,$A102,Log!$F$2:$F$5000,"*→ "&amp;J$1&amp;"*"))</f>
        <v/>
      </c>
      <c r="K102">
        <f>IF($A102="","",COUNTIFS(Log!$A$2:$A$5000,$A102,Log!$F$2:$F$5000,"*→ "&amp;K$1&amp;"*"))</f>
        <v/>
      </c>
      <c r="L102">
        <f>IF($A102="","",COUNTIFS(Log!$A$2:$A$5000,$A102,Log!$F$2:$F$5000,"*→ "&amp;L$1&amp;"*"))</f>
        <v/>
      </c>
      <c r="M102">
        <f>IF($A102="","",COUNTIFS(Log!$A$2:$A$5000,$A102,Log!$F$2:$F$5000,"*→ "&amp;M$1&amp;"*"))</f>
        <v/>
      </c>
      <c r="N102">
        <f>IF($A102="","",COUNTIFS(Log!$A$2:$A$5000,$A102,Log!$F$2:$F$5000,"*→ "&amp;N$1&amp;"*"))</f>
        <v/>
      </c>
      <c r="O102">
        <f>IF($A102="","",COUNTIFS(Log!$A$2:$A$5000,$A102,Log!$F$2:$F$5000,"*→ "&amp;O$1&amp;"*"))</f>
        <v/>
      </c>
      <c r="P102">
        <f>IF($A102="","",COUNTIFS(Log!$A$2:$A$5000,$A102,Log!$F$2:$F$5000,"*→ "&amp;P$1&amp;"*"))</f>
        <v/>
      </c>
      <c r="Q102">
        <f>IF($A102="","",COUNTIFS(Log!$A$2:$A$5000,$A102,Log!$F$2:$F$5000,"*→ "&amp;Q$1&amp;"*"))</f>
        <v/>
      </c>
      <c r="R102">
        <f>IF($A102="","",COUNTIFS(Log!$A$2:$A$5000,$A102,Log!$F$2:$F$5000,"*→ "&amp;R$1&amp;"*"))</f>
        <v/>
      </c>
    </row>
    <row r="103">
      <c r="A103">
        <f>IF(Students!A103="","",Students!A103)</f>
        <v/>
      </c>
      <c r="B103">
        <f>IF($A103="","",COUNTIFS(Log!$A$2:$A$5000,$A103,Log!$F$2:$F$5000,"*→ "&amp;B$1&amp;"*"))</f>
        <v/>
      </c>
      <c r="C103">
        <f>IF($A103="","",COUNTIFS(Log!$A$2:$A$5000,$A103,Log!$F$2:$F$5000,"*→ "&amp;C$1&amp;"*"))</f>
        <v/>
      </c>
      <c r="D103">
        <f>IF($A103="","",COUNTIFS(Log!$A$2:$A$5000,$A103,Log!$F$2:$F$5000,"*→ "&amp;D$1&amp;"*"))</f>
        <v/>
      </c>
      <c r="E103">
        <f>IF($A103="","",COUNTIFS(Log!$A$2:$A$5000,$A103,Log!$F$2:$F$5000,"*→ "&amp;E$1&amp;"*"))</f>
        <v/>
      </c>
      <c r="F103">
        <f>IF($A103="","",COUNTIFS(Log!$A$2:$A$5000,$A103,Log!$F$2:$F$5000,"*→ "&amp;F$1&amp;"*"))</f>
        <v/>
      </c>
      <c r="G103">
        <f>IF($A103="","",COUNTIFS(Log!$A$2:$A$5000,$A103,Log!$F$2:$F$5000,"*→ "&amp;G$1&amp;"*"))</f>
        <v/>
      </c>
      <c r="H103">
        <f>IF($A103="","",COUNTIFS(Log!$A$2:$A$5000,$A103,Log!$F$2:$F$5000,"*→ "&amp;H$1&amp;"*"))</f>
        <v/>
      </c>
      <c r="I103">
        <f>IF($A103="","",COUNTIFS(Log!$A$2:$A$5000,$A103,Log!$F$2:$F$5000,"*→ "&amp;I$1&amp;"*"))</f>
        <v/>
      </c>
      <c r="J103">
        <f>IF($A103="","",COUNTIFS(Log!$A$2:$A$5000,$A103,Log!$F$2:$F$5000,"*→ "&amp;J$1&amp;"*"))</f>
        <v/>
      </c>
      <c r="K103">
        <f>IF($A103="","",COUNTIFS(Log!$A$2:$A$5000,$A103,Log!$F$2:$F$5000,"*→ "&amp;K$1&amp;"*"))</f>
        <v/>
      </c>
      <c r="L103">
        <f>IF($A103="","",COUNTIFS(Log!$A$2:$A$5000,$A103,Log!$F$2:$F$5000,"*→ "&amp;L$1&amp;"*"))</f>
        <v/>
      </c>
      <c r="M103">
        <f>IF($A103="","",COUNTIFS(Log!$A$2:$A$5000,$A103,Log!$F$2:$F$5000,"*→ "&amp;M$1&amp;"*"))</f>
        <v/>
      </c>
      <c r="N103">
        <f>IF($A103="","",COUNTIFS(Log!$A$2:$A$5000,$A103,Log!$F$2:$F$5000,"*→ "&amp;N$1&amp;"*"))</f>
        <v/>
      </c>
      <c r="O103">
        <f>IF($A103="","",COUNTIFS(Log!$A$2:$A$5000,$A103,Log!$F$2:$F$5000,"*→ "&amp;O$1&amp;"*"))</f>
        <v/>
      </c>
      <c r="P103">
        <f>IF($A103="","",COUNTIFS(Log!$A$2:$A$5000,$A103,Log!$F$2:$F$5000,"*→ "&amp;P$1&amp;"*"))</f>
        <v/>
      </c>
      <c r="Q103">
        <f>IF($A103="","",COUNTIFS(Log!$A$2:$A$5000,$A103,Log!$F$2:$F$5000,"*→ "&amp;Q$1&amp;"*"))</f>
        <v/>
      </c>
      <c r="R103">
        <f>IF($A103="","",COUNTIFS(Log!$A$2:$A$5000,$A103,Log!$F$2:$F$5000,"*→ "&amp;R$1&amp;"*"))</f>
        <v/>
      </c>
    </row>
    <row r="104">
      <c r="A104">
        <f>IF(Students!A104="","",Students!A104)</f>
        <v/>
      </c>
      <c r="B104">
        <f>IF($A104="","",COUNTIFS(Log!$A$2:$A$5000,$A104,Log!$F$2:$F$5000,"*→ "&amp;B$1&amp;"*"))</f>
        <v/>
      </c>
      <c r="C104">
        <f>IF($A104="","",COUNTIFS(Log!$A$2:$A$5000,$A104,Log!$F$2:$F$5000,"*→ "&amp;C$1&amp;"*"))</f>
        <v/>
      </c>
      <c r="D104">
        <f>IF($A104="","",COUNTIFS(Log!$A$2:$A$5000,$A104,Log!$F$2:$F$5000,"*→ "&amp;D$1&amp;"*"))</f>
        <v/>
      </c>
      <c r="E104">
        <f>IF($A104="","",COUNTIFS(Log!$A$2:$A$5000,$A104,Log!$F$2:$F$5000,"*→ "&amp;E$1&amp;"*"))</f>
        <v/>
      </c>
      <c r="F104">
        <f>IF($A104="","",COUNTIFS(Log!$A$2:$A$5000,$A104,Log!$F$2:$F$5000,"*→ "&amp;F$1&amp;"*"))</f>
        <v/>
      </c>
      <c r="G104">
        <f>IF($A104="","",COUNTIFS(Log!$A$2:$A$5000,$A104,Log!$F$2:$F$5000,"*→ "&amp;G$1&amp;"*"))</f>
        <v/>
      </c>
      <c r="H104">
        <f>IF($A104="","",COUNTIFS(Log!$A$2:$A$5000,$A104,Log!$F$2:$F$5000,"*→ "&amp;H$1&amp;"*"))</f>
        <v/>
      </c>
      <c r="I104">
        <f>IF($A104="","",COUNTIFS(Log!$A$2:$A$5000,$A104,Log!$F$2:$F$5000,"*→ "&amp;I$1&amp;"*"))</f>
        <v/>
      </c>
      <c r="J104">
        <f>IF($A104="","",COUNTIFS(Log!$A$2:$A$5000,$A104,Log!$F$2:$F$5000,"*→ "&amp;J$1&amp;"*"))</f>
        <v/>
      </c>
      <c r="K104">
        <f>IF($A104="","",COUNTIFS(Log!$A$2:$A$5000,$A104,Log!$F$2:$F$5000,"*→ "&amp;K$1&amp;"*"))</f>
        <v/>
      </c>
      <c r="L104">
        <f>IF($A104="","",COUNTIFS(Log!$A$2:$A$5000,$A104,Log!$F$2:$F$5000,"*→ "&amp;L$1&amp;"*"))</f>
        <v/>
      </c>
      <c r="M104">
        <f>IF($A104="","",COUNTIFS(Log!$A$2:$A$5000,$A104,Log!$F$2:$F$5000,"*→ "&amp;M$1&amp;"*"))</f>
        <v/>
      </c>
      <c r="N104">
        <f>IF($A104="","",COUNTIFS(Log!$A$2:$A$5000,$A104,Log!$F$2:$F$5000,"*→ "&amp;N$1&amp;"*"))</f>
        <v/>
      </c>
      <c r="O104">
        <f>IF($A104="","",COUNTIFS(Log!$A$2:$A$5000,$A104,Log!$F$2:$F$5000,"*→ "&amp;O$1&amp;"*"))</f>
        <v/>
      </c>
      <c r="P104">
        <f>IF($A104="","",COUNTIFS(Log!$A$2:$A$5000,$A104,Log!$F$2:$F$5000,"*→ "&amp;P$1&amp;"*"))</f>
        <v/>
      </c>
      <c r="Q104">
        <f>IF($A104="","",COUNTIFS(Log!$A$2:$A$5000,$A104,Log!$F$2:$F$5000,"*→ "&amp;Q$1&amp;"*"))</f>
        <v/>
      </c>
      <c r="R104">
        <f>IF($A104="","",COUNTIFS(Log!$A$2:$A$5000,$A104,Log!$F$2:$F$5000,"*→ "&amp;R$1&amp;"*"))</f>
        <v/>
      </c>
    </row>
    <row r="105">
      <c r="A105">
        <f>IF(Students!A105="","",Students!A105)</f>
        <v/>
      </c>
      <c r="B105">
        <f>IF($A105="","",COUNTIFS(Log!$A$2:$A$5000,$A105,Log!$F$2:$F$5000,"*→ "&amp;B$1&amp;"*"))</f>
        <v/>
      </c>
      <c r="C105">
        <f>IF($A105="","",COUNTIFS(Log!$A$2:$A$5000,$A105,Log!$F$2:$F$5000,"*→ "&amp;C$1&amp;"*"))</f>
        <v/>
      </c>
      <c r="D105">
        <f>IF($A105="","",COUNTIFS(Log!$A$2:$A$5000,$A105,Log!$F$2:$F$5000,"*→ "&amp;D$1&amp;"*"))</f>
        <v/>
      </c>
      <c r="E105">
        <f>IF($A105="","",COUNTIFS(Log!$A$2:$A$5000,$A105,Log!$F$2:$F$5000,"*→ "&amp;E$1&amp;"*"))</f>
        <v/>
      </c>
      <c r="F105">
        <f>IF($A105="","",COUNTIFS(Log!$A$2:$A$5000,$A105,Log!$F$2:$F$5000,"*→ "&amp;F$1&amp;"*"))</f>
        <v/>
      </c>
      <c r="G105">
        <f>IF($A105="","",COUNTIFS(Log!$A$2:$A$5000,$A105,Log!$F$2:$F$5000,"*→ "&amp;G$1&amp;"*"))</f>
        <v/>
      </c>
      <c r="H105">
        <f>IF($A105="","",COUNTIFS(Log!$A$2:$A$5000,$A105,Log!$F$2:$F$5000,"*→ "&amp;H$1&amp;"*"))</f>
        <v/>
      </c>
      <c r="I105">
        <f>IF($A105="","",COUNTIFS(Log!$A$2:$A$5000,$A105,Log!$F$2:$F$5000,"*→ "&amp;I$1&amp;"*"))</f>
        <v/>
      </c>
      <c r="J105">
        <f>IF($A105="","",COUNTIFS(Log!$A$2:$A$5000,$A105,Log!$F$2:$F$5000,"*→ "&amp;J$1&amp;"*"))</f>
        <v/>
      </c>
      <c r="K105">
        <f>IF($A105="","",COUNTIFS(Log!$A$2:$A$5000,$A105,Log!$F$2:$F$5000,"*→ "&amp;K$1&amp;"*"))</f>
        <v/>
      </c>
      <c r="L105">
        <f>IF($A105="","",COUNTIFS(Log!$A$2:$A$5000,$A105,Log!$F$2:$F$5000,"*→ "&amp;L$1&amp;"*"))</f>
        <v/>
      </c>
      <c r="M105">
        <f>IF($A105="","",COUNTIFS(Log!$A$2:$A$5000,$A105,Log!$F$2:$F$5000,"*→ "&amp;M$1&amp;"*"))</f>
        <v/>
      </c>
      <c r="N105">
        <f>IF($A105="","",COUNTIFS(Log!$A$2:$A$5000,$A105,Log!$F$2:$F$5000,"*→ "&amp;N$1&amp;"*"))</f>
        <v/>
      </c>
      <c r="O105">
        <f>IF($A105="","",COUNTIFS(Log!$A$2:$A$5000,$A105,Log!$F$2:$F$5000,"*→ "&amp;O$1&amp;"*"))</f>
        <v/>
      </c>
      <c r="P105">
        <f>IF($A105="","",COUNTIFS(Log!$A$2:$A$5000,$A105,Log!$F$2:$F$5000,"*→ "&amp;P$1&amp;"*"))</f>
        <v/>
      </c>
      <c r="Q105">
        <f>IF($A105="","",COUNTIFS(Log!$A$2:$A$5000,$A105,Log!$F$2:$F$5000,"*→ "&amp;Q$1&amp;"*"))</f>
        <v/>
      </c>
      <c r="R105">
        <f>IF($A105="","",COUNTIFS(Log!$A$2:$A$5000,$A105,Log!$F$2:$F$5000,"*→ "&amp;R$1&amp;"*"))</f>
        <v/>
      </c>
    </row>
    <row r="106">
      <c r="A106">
        <f>IF(Students!A106="","",Students!A106)</f>
        <v/>
      </c>
      <c r="B106">
        <f>IF($A106="","",COUNTIFS(Log!$A$2:$A$5000,$A106,Log!$F$2:$F$5000,"*→ "&amp;B$1&amp;"*"))</f>
        <v/>
      </c>
      <c r="C106">
        <f>IF($A106="","",COUNTIFS(Log!$A$2:$A$5000,$A106,Log!$F$2:$F$5000,"*→ "&amp;C$1&amp;"*"))</f>
        <v/>
      </c>
      <c r="D106">
        <f>IF($A106="","",COUNTIFS(Log!$A$2:$A$5000,$A106,Log!$F$2:$F$5000,"*→ "&amp;D$1&amp;"*"))</f>
        <v/>
      </c>
      <c r="E106">
        <f>IF($A106="","",COUNTIFS(Log!$A$2:$A$5000,$A106,Log!$F$2:$F$5000,"*→ "&amp;E$1&amp;"*"))</f>
        <v/>
      </c>
      <c r="F106">
        <f>IF($A106="","",COUNTIFS(Log!$A$2:$A$5000,$A106,Log!$F$2:$F$5000,"*→ "&amp;F$1&amp;"*"))</f>
        <v/>
      </c>
      <c r="G106">
        <f>IF($A106="","",COUNTIFS(Log!$A$2:$A$5000,$A106,Log!$F$2:$F$5000,"*→ "&amp;G$1&amp;"*"))</f>
        <v/>
      </c>
      <c r="H106">
        <f>IF($A106="","",COUNTIFS(Log!$A$2:$A$5000,$A106,Log!$F$2:$F$5000,"*→ "&amp;H$1&amp;"*"))</f>
        <v/>
      </c>
      <c r="I106">
        <f>IF($A106="","",COUNTIFS(Log!$A$2:$A$5000,$A106,Log!$F$2:$F$5000,"*→ "&amp;I$1&amp;"*"))</f>
        <v/>
      </c>
      <c r="J106">
        <f>IF($A106="","",COUNTIFS(Log!$A$2:$A$5000,$A106,Log!$F$2:$F$5000,"*→ "&amp;J$1&amp;"*"))</f>
        <v/>
      </c>
      <c r="K106">
        <f>IF($A106="","",COUNTIFS(Log!$A$2:$A$5000,$A106,Log!$F$2:$F$5000,"*→ "&amp;K$1&amp;"*"))</f>
        <v/>
      </c>
      <c r="L106">
        <f>IF($A106="","",COUNTIFS(Log!$A$2:$A$5000,$A106,Log!$F$2:$F$5000,"*→ "&amp;L$1&amp;"*"))</f>
        <v/>
      </c>
      <c r="M106">
        <f>IF($A106="","",COUNTIFS(Log!$A$2:$A$5000,$A106,Log!$F$2:$F$5000,"*→ "&amp;M$1&amp;"*"))</f>
        <v/>
      </c>
      <c r="N106">
        <f>IF($A106="","",COUNTIFS(Log!$A$2:$A$5000,$A106,Log!$F$2:$F$5000,"*→ "&amp;N$1&amp;"*"))</f>
        <v/>
      </c>
      <c r="O106">
        <f>IF($A106="","",COUNTIFS(Log!$A$2:$A$5000,$A106,Log!$F$2:$F$5000,"*→ "&amp;O$1&amp;"*"))</f>
        <v/>
      </c>
      <c r="P106">
        <f>IF($A106="","",COUNTIFS(Log!$A$2:$A$5000,$A106,Log!$F$2:$F$5000,"*→ "&amp;P$1&amp;"*"))</f>
        <v/>
      </c>
      <c r="Q106">
        <f>IF($A106="","",COUNTIFS(Log!$A$2:$A$5000,$A106,Log!$F$2:$F$5000,"*→ "&amp;Q$1&amp;"*"))</f>
        <v/>
      </c>
      <c r="R106">
        <f>IF($A106="","",COUNTIFS(Log!$A$2:$A$5000,$A106,Log!$F$2:$F$5000,"*→ "&amp;R$1&amp;"*"))</f>
        <v/>
      </c>
    </row>
    <row r="107">
      <c r="A107">
        <f>IF(Students!A107="","",Students!A107)</f>
        <v/>
      </c>
      <c r="B107">
        <f>IF($A107="","",COUNTIFS(Log!$A$2:$A$5000,$A107,Log!$F$2:$F$5000,"*→ "&amp;B$1&amp;"*"))</f>
        <v/>
      </c>
      <c r="C107">
        <f>IF($A107="","",COUNTIFS(Log!$A$2:$A$5000,$A107,Log!$F$2:$F$5000,"*→ "&amp;C$1&amp;"*"))</f>
        <v/>
      </c>
      <c r="D107">
        <f>IF($A107="","",COUNTIFS(Log!$A$2:$A$5000,$A107,Log!$F$2:$F$5000,"*→ "&amp;D$1&amp;"*"))</f>
        <v/>
      </c>
      <c r="E107">
        <f>IF($A107="","",COUNTIFS(Log!$A$2:$A$5000,$A107,Log!$F$2:$F$5000,"*→ "&amp;E$1&amp;"*"))</f>
        <v/>
      </c>
      <c r="F107">
        <f>IF($A107="","",COUNTIFS(Log!$A$2:$A$5000,$A107,Log!$F$2:$F$5000,"*→ "&amp;F$1&amp;"*"))</f>
        <v/>
      </c>
      <c r="G107">
        <f>IF($A107="","",COUNTIFS(Log!$A$2:$A$5000,$A107,Log!$F$2:$F$5000,"*→ "&amp;G$1&amp;"*"))</f>
        <v/>
      </c>
      <c r="H107">
        <f>IF($A107="","",COUNTIFS(Log!$A$2:$A$5000,$A107,Log!$F$2:$F$5000,"*→ "&amp;H$1&amp;"*"))</f>
        <v/>
      </c>
      <c r="I107">
        <f>IF($A107="","",COUNTIFS(Log!$A$2:$A$5000,$A107,Log!$F$2:$F$5000,"*→ "&amp;I$1&amp;"*"))</f>
        <v/>
      </c>
      <c r="J107">
        <f>IF($A107="","",COUNTIFS(Log!$A$2:$A$5000,$A107,Log!$F$2:$F$5000,"*→ "&amp;J$1&amp;"*"))</f>
        <v/>
      </c>
      <c r="K107">
        <f>IF($A107="","",COUNTIFS(Log!$A$2:$A$5000,$A107,Log!$F$2:$F$5000,"*→ "&amp;K$1&amp;"*"))</f>
        <v/>
      </c>
      <c r="L107">
        <f>IF($A107="","",COUNTIFS(Log!$A$2:$A$5000,$A107,Log!$F$2:$F$5000,"*→ "&amp;L$1&amp;"*"))</f>
        <v/>
      </c>
      <c r="M107">
        <f>IF($A107="","",COUNTIFS(Log!$A$2:$A$5000,$A107,Log!$F$2:$F$5000,"*→ "&amp;M$1&amp;"*"))</f>
        <v/>
      </c>
      <c r="N107">
        <f>IF($A107="","",COUNTIFS(Log!$A$2:$A$5000,$A107,Log!$F$2:$F$5000,"*→ "&amp;N$1&amp;"*"))</f>
        <v/>
      </c>
      <c r="O107">
        <f>IF($A107="","",COUNTIFS(Log!$A$2:$A$5000,$A107,Log!$F$2:$F$5000,"*→ "&amp;O$1&amp;"*"))</f>
        <v/>
      </c>
      <c r="P107">
        <f>IF($A107="","",COUNTIFS(Log!$A$2:$A$5000,$A107,Log!$F$2:$F$5000,"*→ "&amp;P$1&amp;"*"))</f>
        <v/>
      </c>
      <c r="Q107">
        <f>IF($A107="","",COUNTIFS(Log!$A$2:$A$5000,$A107,Log!$F$2:$F$5000,"*→ "&amp;Q$1&amp;"*"))</f>
        <v/>
      </c>
      <c r="R107">
        <f>IF($A107="","",COUNTIFS(Log!$A$2:$A$5000,$A107,Log!$F$2:$F$5000,"*→ "&amp;R$1&amp;"*"))</f>
        <v/>
      </c>
    </row>
    <row r="108">
      <c r="A108">
        <f>IF(Students!A108="","",Students!A108)</f>
        <v/>
      </c>
      <c r="B108">
        <f>IF($A108="","",COUNTIFS(Log!$A$2:$A$5000,$A108,Log!$F$2:$F$5000,"*→ "&amp;B$1&amp;"*"))</f>
        <v/>
      </c>
      <c r="C108">
        <f>IF($A108="","",COUNTIFS(Log!$A$2:$A$5000,$A108,Log!$F$2:$F$5000,"*→ "&amp;C$1&amp;"*"))</f>
        <v/>
      </c>
      <c r="D108">
        <f>IF($A108="","",COUNTIFS(Log!$A$2:$A$5000,$A108,Log!$F$2:$F$5000,"*→ "&amp;D$1&amp;"*"))</f>
        <v/>
      </c>
      <c r="E108">
        <f>IF($A108="","",COUNTIFS(Log!$A$2:$A$5000,$A108,Log!$F$2:$F$5000,"*→ "&amp;E$1&amp;"*"))</f>
        <v/>
      </c>
      <c r="F108">
        <f>IF($A108="","",COUNTIFS(Log!$A$2:$A$5000,$A108,Log!$F$2:$F$5000,"*→ "&amp;F$1&amp;"*"))</f>
        <v/>
      </c>
      <c r="G108">
        <f>IF($A108="","",COUNTIFS(Log!$A$2:$A$5000,$A108,Log!$F$2:$F$5000,"*→ "&amp;G$1&amp;"*"))</f>
        <v/>
      </c>
      <c r="H108">
        <f>IF($A108="","",COUNTIFS(Log!$A$2:$A$5000,$A108,Log!$F$2:$F$5000,"*→ "&amp;H$1&amp;"*"))</f>
        <v/>
      </c>
      <c r="I108">
        <f>IF($A108="","",COUNTIFS(Log!$A$2:$A$5000,$A108,Log!$F$2:$F$5000,"*→ "&amp;I$1&amp;"*"))</f>
        <v/>
      </c>
      <c r="J108">
        <f>IF($A108="","",COUNTIFS(Log!$A$2:$A$5000,$A108,Log!$F$2:$F$5000,"*→ "&amp;J$1&amp;"*"))</f>
        <v/>
      </c>
      <c r="K108">
        <f>IF($A108="","",COUNTIFS(Log!$A$2:$A$5000,$A108,Log!$F$2:$F$5000,"*→ "&amp;K$1&amp;"*"))</f>
        <v/>
      </c>
      <c r="L108">
        <f>IF($A108="","",COUNTIFS(Log!$A$2:$A$5000,$A108,Log!$F$2:$F$5000,"*→ "&amp;L$1&amp;"*"))</f>
        <v/>
      </c>
      <c r="M108">
        <f>IF($A108="","",COUNTIFS(Log!$A$2:$A$5000,$A108,Log!$F$2:$F$5000,"*→ "&amp;M$1&amp;"*"))</f>
        <v/>
      </c>
      <c r="N108">
        <f>IF($A108="","",COUNTIFS(Log!$A$2:$A$5000,$A108,Log!$F$2:$F$5000,"*→ "&amp;N$1&amp;"*"))</f>
        <v/>
      </c>
      <c r="O108">
        <f>IF($A108="","",COUNTIFS(Log!$A$2:$A$5000,$A108,Log!$F$2:$F$5000,"*→ "&amp;O$1&amp;"*"))</f>
        <v/>
      </c>
      <c r="P108">
        <f>IF($A108="","",COUNTIFS(Log!$A$2:$A$5000,$A108,Log!$F$2:$F$5000,"*→ "&amp;P$1&amp;"*"))</f>
        <v/>
      </c>
      <c r="Q108">
        <f>IF($A108="","",COUNTIFS(Log!$A$2:$A$5000,$A108,Log!$F$2:$F$5000,"*→ "&amp;Q$1&amp;"*"))</f>
        <v/>
      </c>
      <c r="R108">
        <f>IF($A108="","",COUNTIFS(Log!$A$2:$A$5000,$A108,Log!$F$2:$F$5000,"*→ "&amp;R$1&amp;"*"))</f>
        <v/>
      </c>
    </row>
    <row r="109">
      <c r="A109">
        <f>IF(Students!A109="","",Students!A109)</f>
        <v/>
      </c>
      <c r="B109">
        <f>IF($A109="","",COUNTIFS(Log!$A$2:$A$5000,$A109,Log!$F$2:$F$5000,"*→ "&amp;B$1&amp;"*"))</f>
        <v/>
      </c>
      <c r="C109">
        <f>IF($A109="","",COUNTIFS(Log!$A$2:$A$5000,$A109,Log!$F$2:$F$5000,"*→ "&amp;C$1&amp;"*"))</f>
        <v/>
      </c>
      <c r="D109">
        <f>IF($A109="","",COUNTIFS(Log!$A$2:$A$5000,$A109,Log!$F$2:$F$5000,"*→ "&amp;D$1&amp;"*"))</f>
        <v/>
      </c>
      <c r="E109">
        <f>IF($A109="","",COUNTIFS(Log!$A$2:$A$5000,$A109,Log!$F$2:$F$5000,"*→ "&amp;E$1&amp;"*"))</f>
        <v/>
      </c>
      <c r="F109">
        <f>IF($A109="","",COUNTIFS(Log!$A$2:$A$5000,$A109,Log!$F$2:$F$5000,"*→ "&amp;F$1&amp;"*"))</f>
        <v/>
      </c>
      <c r="G109">
        <f>IF($A109="","",COUNTIFS(Log!$A$2:$A$5000,$A109,Log!$F$2:$F$5000,"*→ "&amp;G$1&amp;"*"))</f>
        <v/>
      </c>
      <c r="H109">
        <f>IF($A109="","",COUNTIFS(Log!$A$2:$A$5000,$A109,Log!$F$2:$F$5000,"*→ "&amp;H$1&amp;"*"))</f>
        <v/>
      </c>
      <c r="I109">
        <f>IF($A109="","",COUNTIFS(Log!$A$2:$A$5000,$A109,Log!$F$2:$F$5000,"*→ "&amp;I$1&amp;"*"))</f>
        <v/>
      </c>
      <c r="J109">
        <f>IF($A109="","",COUNTIFS(Log!$A$2:$A$5000,$A109,Log!$F$2:$F$5000,"*→ "&amp;J$1&amp;"*"))</f>
        <v/>
      </c>
      <c r="K109">
        <f>IF($A109="","",COUNTIFS(Log!$A$2:$A$5000,$A109,Log!$F$2:$F$5000,"*→ "&amp;K$1&amp;"*"))</f>
        <v/>
      </c>
      <c r="L109">
        <f>IF($A109="","",COUNTIFS(Log!$A$2:$A$5000,$A109,Log!$F$2:$F$5000,"*→ "&amp;L$1&amp;"*"))</f>
        <v/>
      </c>
      <c r="M109">
        <f>IF($A109="","",COUNTIFS(Log!$A$2:$A$5000,$A109,Log!$F$2:$F$5000,"*→ "&amp;M$1&amp;"*"))</f>
        <v/>
      </c>
      <c r="N109">
        <f>IF($A109="","",COUNTIFS(Log!$A$2:$A$5000,$A109,Log!$F$2:$F$5000,"*→ "&amp;N$1&amp;"*"))</f>
        <v/>
      </c>
      <c r="O109">
        <f>IF($A109="","",COUNTIFS(Log!$A$2:$A$5000,$A109,Log!$F$2:$F$5000,"*→ "&amp;O$1&amp;"*"))</f>
        <v/>
      </c>
      <c r="P109">
        <f>IF($A109="","",COUNTIFS(Log!$A$2:$A$5000,$A109,Log!$F$2:$F$5000,"*→ "&amp;P$1&amp;"*"))</f>
        <v/>
      </c>
      <c r="Q109">
        <f>IF($A109="","",COUNTIFS(Log!$A$2:$A$5000,$A109,Log!$F$2:$F$5000,"*→ "&amp;Q$1&amp;"*"))</f>
        <v/>
      </c>
      <c r="R109">
        <f>IF($A109="","",COUNTIFS(Log!$A$2:$A$5000,$A109,Log!$F$2:$F$5000,"*→ "&amp;R$1&amp;"*"))</f>
        <v/>
      </c>
    </row>
    <row r="110">
      <c r="A110">
        <f>IF(Students!A110="","",Students!A110)</f>
        <v/>
      </c>
      <c r="B110">
        <f>IF($A110="","",COUNTIFS(Log!$A$2:$A$5000,$A110,Log!$F$2:$F$5000,"*→ "&amp;B$1&amp;"*"))</f>
        <v/>
      </c>
      <c r="C110">
        <f>IF($A110="","",COUNTIFS(Log!$A$2:$A$5000,$A110,Log!$F$2:$F$5000,"*→ "&amp;C$1&amp;"*"))</f>
        <v/>
      </c>
      <c r="D110">
        <f>IF($A110="","",COUNTIFS(Log!$A$2:$A$5000,$A110,Log!$F$2:$F$5000,"*→ "&amp;D$1&amp;"*"))</f>
        <v/>
      </c>
      <c r="E110">
        <f>IF($A110="","",COUNTIFS(Log!$A$2:$A$5000,$A110,Log!$F$2:$F$5000,"*→ "&amp;E$1&amp;"*"))</f>
        <v/>
      </c>
      <c r="F110">
        <f>IF($A110="","",COUNTIFS(Log!$A$2:$A$5000,$A110,Log!$F$2:$F$5000,"*→ "&amp;F$1&amp;"*"))</f>
        <v/>
      </c>
      <c r="G110">
        <f>IF($A110="","",COUNTIFS(Log!$A$2:$A$5000,$A110,Log!$F$2:$F$5000,"*→ "&amp;G$1&amp;"*"))</f>
        <v/>
      </c>
      <c r="H110">
        <f>IF($A110="","",COUNTIFS(Log!$A$2:$A$5000,$A110,Log!$F$2:$F$5000,"*→ "&amp;H$1&amp;"*"))</f>
        <v/>
      </c>
      <c r="I110">
        <f>IF($A110="","",COUNTIFS(Log!$A$2:$A$5000,$A110,Log!$F$2:$F$5000,"*→ "&amp;I$1&amp;"*"))</f>
        <v/>
      </c>
      <c r="J110">
        <f>IF($A110="","",COUNTIFS(Log!$A$2:$A$5000,$A110,Log!$F$2:$F$5000,"*→ "&amp;J$1&amp;"*"))</f>
        <v/>
      </c>
      <c r="K110">
        <f>IF($A110="","",COUNTIFS(Log!$A$2:$A$5000,$A110,Log!$F$2:$F$5000,"*→ "&amp;K$1&amp;"*"))</f>
        <v/>
      </c>
      <c r="L110">
        <f>IF($A110="","",COUNTIFS(Log!$A$2:$A$5000,$A110,Log!$F$2:$F$5000,"*→ "&amp;L$1&amp;"*"))</f>
        <v/>
      </c>
      <c r="M110">
        <f>IF($A110="","",COUNTIFS(Log!$A$2:$A$5000,$A110,Log!$F$2:$F$5000,"*→ "&amp;M$1&amp;"*"))</f>
        <v/>
      </c>
      <c r="N110">
        <f>IF($A110="","",COUNTIFS(Log!$A$2:$A$5000,$A110,Log!$F$2:$F$5000,"*→ "&amp;N$1&amp;"*"))</f>
        <v/>
      </c>
      <c r="O110">
        <f>IF($A110="","",COUNTIFS(Log!$A$2:$A$5000,$A110,Log!$F$2:$F$5000,"*→ "&amp;O$1&amp;"*"))</f>
        <v/>
      </c>
      <c r="P110">
        <f>IF($A110="","",COUNTIFS(Log!$A$2:$A$5000,$A110,Log!$F$2:$F$5000,"*→ "&amp;P$1&amp;"*"))</f>
        <v/>
      </c>
      <c r="Q110">
        <f>IF($A110="","",COUNTIFS(Log!$A$2:$A$5000,$A110,Log!$F$2:$F$5000,"*→ "&amp;Q$1&amp;"*"))</f>
        <v/>
      </c>
      <c r="R110">
        <f>IF($A110="","",COUNTIFS(Log!$A$2:$A$5000,$A110,Log!$F$2:$F$5000,"*→ "&amp;R$1&amp;"*"))</f>
        <v/>
      </c>
    </row>
    <row r="111">
      <c r="A111">
        <f>IF(Students!A111="","",Students!A111)</f>
        <v/>
      </c>
      <c r="B111">
        <f>IF($A111="","",COUNTIFS(Log!$A$2:$A$5000,$A111,Log!$F$2:$F$5000,"*→ "&amp;B$1&amp;"*"))</f>
        <v/>
      </c>
      <c r="C111">
        <f>IF($A111="","",COUNTIFS(Log!$A$2:$A$5000,$A111,Log!$F$2:$F$5000,"*→ "&amp;C$1&amp;"*"))</f>
        <v/>
      </c>
      <c r="D111">
        <f>IF($A111="","",COUNTIFS(Log!$A$2:$A$5000,$A111,Log!$F$2:$F$5000,"*→ "&amp;D$1&amp;"*"))</f>
        <v/>
      </c>
      <c r="E111">
        <f>IF($A111="","",COUNTIFS(Log!$A$2:$A$5000,$A111,Log!$F$2:$F$5000,"*→ "&amp;E$1&amp;"*"))</f>
        <v/>
      </c>
      <c r="F111">
        <f>IF($A111="","",COUNTIFS(Log!$A$2:$A$5000,$A111,Log!$F$2:$F$5000,"*→ "&amp;F$1&amp;"*"))</f>
        <v/>
      </c>
      <c r="G111">
        <f>IF($A111="","",COUNTIFS(Log!$A$2:$A$5000,$A111,Log!$F$2:$F$5000,"*→ "&amp;G$1&amp;"*"))</f>
        <v/>
      </c>
      <c r="H111">
        <f>IF($A111="","",COUNTIFS(Log!$A$2:$A$5000,$A111,Log!$F$2:$F$5000,"*→ "&amp;H$1&amp;"*"))</f>
        <v/>
      </c>
      <c r="I111">
        <f>IF($A111="","",COUNTIFS(Log!$A$2:$A$5000,$A111,Log!$F$2:$F$5000,"*→ "&amp;I$1&amp;"*"))</f>
        <v/>
      </c>
      <c r="J111">
        <f>IF($A111="","",COUNTIFS(Log!$A$2:$A$5000,$A111,Log!$F$2:$F$5000,"*→ "&amp;J$1&amp;"*"))</f>
        <v/>
      </c>
      <c r="K111">
        <f>IF($A111="","",COUNTIFS(Log!$A$2:$A$5000,$A111,Log!$F$2:$F$5000,"*→ "&amp;K$1&amp;"*"))</f>
        <v/>
      </c>
      <c r="L111">
        <f>IF($A111="","",COUNTIFS(Log!$A$2:$A$5000,$A111,Log!$F$2:$F$5000,"*→ "&amp;L$1&amp;"*"))</f>
        <v/>
      </c>
      <c r="M111">
        <f>IF($A111="","",COUNTIFS(Log!$A$2:$A$5000,$A111,Log!$F$2:$F$5000,"*→ "&amp;M$1&amp;"*"))</f>
        <v/>
      </c>
      <c r="N111">
        <f>IF($A111="","",COUNTIFS(Log!$A$2:$A$5000,$A111,Log!$F$2:$F$5000,"*→ "&amp;N$1&amp;"*"))</f>
        <v/>
      </c>
      <c r="O111">
        <f>IF($A111="","",COUNTIFS(Log!$A$2:$A$5000,$A111,Log!$F$2:$F$5000,"*→ "&amp;O$1&amp;"*"))</f>
        <v/>
      </c>
      <c r="P111">
        <f>IF($A111="","",COUNTIFS(Log!$A$2:$A$5000,$A111,Log!$F$2:$F$5000,"*→ "&amp;P$1&amp;"*"))</f>
        <v/>
      </c>
      <c r="Q111">
        <f>IF($A111="","",COUNTIFS(Log!$A$2:$A$5000,$A111,Log!$F$2:$F$5000,"*→ "&amp;Q$1&amp;"*"))</f>
        <v/>
      </c>
      <c r="R111">
        <f>IF($A111="","",COUNTIFS(Log!$A$2:$A$5000,$A111,Log!$F$2:$F$5000,"*→ "&amp;R$1&amp;"*"))</f>
        <v/>
      </c>
    </row>
    <row r="112">
      <c r="A112">
        <f>IF(Students!A112="","",Students!A112)</f>
        <v/>
      </c>
      <c r="B112">
        <f>IF($A112="","",COUNTIFS(Log!$A$2:$A$5000,$A112,Log!$F$2:$F$5000,"*→ "&amp;B$1&amp;"*"))</f>
        <v/>
      </c>
      <c r="C112">
        <f>IF($A112="","",COUNTIFS(Log!$A$2:$A$5000,$A112,Log!$F$2:$F$5000,"*→ "&amp;C$1&amp;"*"))</f>
        <v/>
      </c>
      <c r="D112">
        <f>IF($A112="","",COUNTIFS(Log!$A$2:$A$5000,$A112,Log!$F$2:$F$5000,"*→ "&amp;D$1&amp;"*"))</f>
        <v/>
      </c>
      <c r="E112">
        <f>IF($A112="","",COUNTIFS(Log!$A$2:$A$5000,$A112,Log!$F$2:$F$5000,"*→ "&amp;E$1&amp;"*"))</f>
        <v/>
      </c>
      <c r="F112">
        <f>IF($A112="","",COUNTIFS(Log!$A$2:$A$5000,$A112,Log!$F$2:$F$5000,"*→ "&amp;F$1&amp;"*"))</f>
        <v/>
      </c>
      <c r="G112">
        <f>IF($A112="","",COUNTIFS(Log!$A$2:$A$5000,$A112,Log!$F$2:$F$5000,"*→ "&amp;G$1&amp;"*"))</f>
        <v/>
      </c>
      <c r="H112">
        <f>IF($A112="","",COUNTIFS(Log!$A$2:$A$5000,$A112,Log!$F$2:$F$5000,"*→ "&amp;H$1&amp;"*"))</f>
        <v/>
      </c>
      <c r="I112">
        <f>IF($A112="","",COUNTIFS(Log!$A$2:$A$5000,$A112,Log!$F$2:$F$5000,"*→ "&amp;I$1&amp;"*"))</f>
        <v/>
      </c>
      <c r="J112">
        <f>IF($A112="","",COUNTIFS(Log!$A$2:$A$5000,$A112,Log!$F$2:$F$5000,"*→ "&amp;J$1&amp;"*"))</f>
        <v/>
      </c>
      <c r="K112">
        <f>IF($A112="","",COUNTIFS(Log!$A$2:$A$5000,$A112,Log!$F$2:$F$5000,"*→ "&amp;K$1&amp;"*"))</f>
        <v/>
      </c>
      <c r="L112">
        <f>IF($A112="","",COUNTIFS(Log!$A$2:$A$5000,$A112,Log!$F$2:$F$5000,"*→ "&amp;L$1&amp;"*"))</f>
        <v/>
      </c>
      <c r="M112">
        <f>IF($A112="","",COUNTIFS(Log!$A$2:$A$5000,$A112,Log!$F$2:$F$5000,"*→ "&amp;M$1&amp;"*"))</f>
        <v/>
      </c>
      <c r="N112">
        <f>IF($A112="","",COUNTIFS(Log!$A$2:$A$5000,$A112,Log!$F$2:$F$5000,"*→ "&amp;N$1&amp;"*"))</f>
        <v/>
      </c>
      <c r="O112">
        <f>IF($A112="","",COUNTIFS(Log!$A$2:$A$5000,$A112,Log!$F$2:$F$5000,"*→ "&amp;O$1&amp;"*"))</f>
        <v/>
      </c>
      <c r="P112">
        <f>IF($A112="","",COUNTIFS(Log!$A$2:$A$5000,$A112,Log!$F$2:$F$5000,"*→ "&amp;P$1&amp;"*"))</f>
        <v/>
      </c>
      <c r="Q112">
        <f>IF($A112="","",COUNTIFS(Log!$A$2:$A$5000,$A112,Log!$F$2:$F$5000,"*→ "&amp;Q$1&amp;"*"))</f>
        <v/>
      </c>
      <c r="R112">
        <f>IF($A112="","",COUNTIFS(Log!$A$2:$A$5000,$A112,Log!$F$2:$F$5000,"*→ "&amp;R$1&amp;"*"))</f>
        <v/>
      </c>
    </row>
    <row r="113">
      <c r="A113">
        <f>IF(Students!A113="","",Students!A113)</f>
        <v/>
      </c>
      <c r="B113">
        <f>IF($A113="","",COUNTIFS(Log!$A$2:$A$5000,$A113,Log!$F$2:$F$5000,"*→ "&amp;B$1&amp;"*"))</f>
        <v/>
      </c>
      <c r="C113">
        <f>IF($A113="","",COUNTIFS(Log!$A$2:$A$5000,$A113,Log!$F$2:$F$5000,"*→ "&amp;C$1&amp;"*"))</f>
        <v/>
      </c>
      <c r="D113">
        <f>IF($A113="","",COUNTIFS(Log!$A$2:$A$5000,$A113,Log!$F$2:$F$5000,"*→ "&amp;D$1&amp;"*"))</f>
        <v/>
      </c>
      <c r="E113">
        <f>IF($A113="","",COUNTIFS(Log!$A$2:$A$5000,$A113,Log!$F$2:$F$5000,"*→ "&amp;E$1&amp;"*"))</f>
        <v/>
      </c>
      <c r="F113">
        <f>IF($A113="","",COUNTIFS(Log!$A$2:$A$5000,$A113,Log!$F$2:$F$5000,"*→ "&amp;F$1&amp;"*"))</f>
        <v/>
      </c>
      <c r="G113">
        <f>IF($A113="","",COUNTIFS(Log!$A$2:$A$5000,$A113,Log!$F$2:$F$5000,"*→ "&amp;G$1&amp;"*"))</f>
        <v/>
      </c>
      <c r="H113">
        <f>IF($A113="","",COUNTIFS(Log!$A$2:$A$5000,$A113,Log!$F$2:$F$5000,"*→ "&amp;H$1&amp;"*"))</f>
        <v/>
      </c>
      <c r="I113">
        <f>IF($A113="","",COUNTIFS(Log!$A$2:$A$5000,$A113,Log!$F$2:$F$5000,"*→ "&amp;I$1&amp;"*"))</f>
        <v/>
      </c>
      <c r="J113">
        <f>IF($A113="","",COUNTIFS(Log!$A$2:$A$5000,$A113,Log!$F$2:$F$5000,"*→ "&amp;J$1&amp;"*"))</f>
        <v/>
      </c>
      <c r="K113">
        <f>IF($A113="","",COUNTIFS(Log!$A$2:$A$5000,$A113,Log!$F$2:$F$5000,"*→ "&amp;K$1&amp;"*"))</f>
        <v/>
      </c>
      <c r="L113">
        <f>IF($A113="","",COUNTIFS(Log!$A$2:$A$5000,$A113,Log!$F$2:$F$5000,"*→ "&amp;L$1&amp;"*"))</f>
        <v/>
      </c>
      <c r="M113">
        <f>IF($A113="","",COUNTIFS(Log!$A$2:$A$5000,$A113,Log!$F$2:$F$5000,"*→ "&amp;M$1&amp;"*"))</f>
        <v/>
      </c>
      <c r="N113">
        <f>IF($A113="","",COUNTIFS(Log!$A$2:$A$5000,$A113,Log!$F$2:$F$5000,"*→ "&amp;N$1&amp;"*"))</f>
        <v/>
      </c>
      <c r="O113">
        <f>IF($A113="","",COUNTIFS(Log!$A$2:$A$5000,$A113,Log!$F$2:$F$5000,"*→ "&amp;O$1&amp;"*"))</f>
        <v/>
      </c>
      <c r="P113">
        <f>IF($A113="","",COUNTIFS(Log!$A$2:$A$5000,$A113,Log!$F$2:$F$5000,"*→ "&amp;P$1&amp;"*"))</f>
        <v/>
      </c>
      <c r="Q113">
        <f>IF($A113="","",COUNTIFS(Log!$A$2:$A$5000,$A113,Log!$F$2:$F$5000,"*→ "&amp;Q$1&amp;"*"))</f>
        <v/>
      </c>
      <c r="R113">
        <f>IF($A113="","",COUNTIFS(Log!$A$2:$A$5000,$A113,Log!$F$2:$F$5000,"*→ "&amp;R$1&amp;"*"))</f>
        <v/>
      </c>
    </row>
    <row r="114">
      <c r="A114">
        <f>IF(Students!A114="","",Students!A114)</f>
        <v/>
      </c>
      <c r="B114">
        <f>IF($A114="","",COUNTIFS(Log!$A$2:$A$5000,$A114,Log!$F$2:$F$5000,"*→ "&amp;B$1&amp;"*"))</f>
        <v/>
      </c>
      <c r="C114">
        <f>IF($A114="","",COUNTIFS(Log!$A$2:$A$5000,$A114,Log!$F$2:$F$5000,"*→ "&amp;C$1&amp;"*"))</f>
        <v/>
      </c>
      <c r="D114">
        <f>IF($A114="","",COUNTIFS(Log!$A$2:$A$5000,$A114,Log!$F$2:$F$5000,"*→ "&amp;D$1&amp;"*"))</f>
        <v/>
      </c>
      <c r="E114">
        <f>IF($A114="","",COUNTIFS(Log!$A$2:$A$5000,$A114,Log!$F$2:$F$5000,"*→ "&amp;E$1&amp;"*"))</f>
        <v/>
      </c>
      <c r="F114">
        <f>IF($A114="","",COUNTIFS(Log!$A$2:$A$5000,$A114,Log!$F$2:$F$5000,"*→ "&amp;F$1&amp;"*"))</f>
        <v/>
      </c>
      <c r="G114">
        <f>IF($A114="","",COUNTIFS(Log!$A$2:$A$5000,$A114,Log!$F$2:$F$5000,"*→ "&amp;G$1&amp;"*"))</f>
        <v/>
      </c>
      <c r="H114">
        <f>IF($A114="","",COUNTIFS(Log!$A$2:$A$5000,$A114,Log!$F$2:$F$5000,"*→ "&amp;H$1&amp;"*"))</f>
        <v/>
      </c>
      <c r="I114">
        <f>IF($A114="","",COUNTIFS(Log!$A$2:$A$5000,$A114,Log!$F$2:$F$5000,"*→ "&amp;I$1&amp;"*"))</f>
        <v/>
      </c>
      <c r="J114">
        <f>IF($A114="","",COUNTIFS(Log!$A$2:$A$5000,$A114,Log!$F$2:$F$5000,"*→ "&amp;J$1&amp;"*"))</f>
        <v/>
      </c>
      <c r="K114">
        <f>IF($A114="","",COUNTIFS(Log!$A$2:$A$5000,$A114,Log!$F$2:$F$5000,"*→ "&amp;K$1&amp;"*"))</f>
        <v/>
      </c>
      <c r="L114">
        <f>IF($A114="","",COUNTIFS(Log!$A$2:$A$5000,$A114,Log!$F$2:$F$5000,"*→ "&amp;L$1&amp;"*"))</f>
        <v/>
      </c>
      <c r="M114">
        <f>IF($A114="","",COUNTIFS(Log!$A$2:$A$5000,$A114,Log!$F$2:$F$5000,"*→ "&amp;M$1&amp;"*"))</f>
        <v/>
      </c>
      <c r="N114">
        <f>IF($A114="","",COUNTIFS(Log!$A$2:$A$5000,$A114,Log!$F$2:$F$5000,"*→ "&amp;N$1&amp;"*"))</f>
        <v/>
      </c>
      <c r="O114">
        <f>IF($A114="","",COUNTIFS(Log!$A$2:$A$5000,$A114,Log!$F$2:$F$5000,"*→ "&amp;O$1&amp;"*"))</f>
        <v/>
      </c>
      <c r="P114">
        <f>IF($A114="","",COUNTIFS(Log!$A$2:$A$5000,$A114,Log!$F$2:$F$5000,"*→ "&amp;P$1&amp;"*"))</f>
        <v/>
      </c>
      <c r="Q114">
        <f>IF($A114="","",COUNTIFS(Log!$A$2:$A$5000,$A114,Log!$F$2:$F$5000,"*→ "&amp;Q$1&amp;"*"))</f>
        <v/>
      </c>
      <c r="R114">
        <f>IF($A114="","",COUNTIFS(Log!$A$2:$A$5000,$A114,Log!$F$2:$F$5000,"*→ "&amp;R$1&amp;"*"))</f>
        <v/>
      </c>
    </row>
    <row r="115">
      <c r="A115">
        <f>IF(Students!A115="","",Students!A115)</f>
        <v/>
      </c>
      <c r="B115">
        <f>IF($A115="","",COUNTIFS(Log!$A$2:$A$5000,$A115,Log!$F$2:$F$5000,"*→ "&amp;B$1&amp;"*"))</f>
        <v/>
      </c>
      <c r="C115">
        <f>IF($A115="","",COUNTIFS(Log!$A$2:$A$5000,$A115,Log!$F$2:$F$5000,"*→ "&amp;C$1&amp;"*"))</f>
        <v/>
      </c>
      <c r="D115">
        <f>IF($A115="","",COUNTIFS(Log!$A$2:$A$5000,$A115,Log!$F$2:$F$5000,"*→ "&amp;D$1&amp;"*"))</f>
        <v/>
      </c>
      <c r="E115">
        <f>IF($A115="","",COUNTIFS(Log!$A$2:$A$5000,$A115,Log!$F$2:$F$5000,"*→ "&amp;E$1&amp;"*"))</f>
        <v/>
      </c>
      <c r="F115">
        <f>IF($A115="","",COUNTIFS(Log!$A$2:$A$5000,$A115,Log!$F$2:$F$5000,"*→ "&amp;F$1&amp;"*"))</f>
        <v/>
      </c>
      <c r="G115">
        <f>IF($A115="","",COUNTIFS(Log!$A$2:$A$5000,$A115,Log!$F$2:$F$5000,"*→ "&amp;G$1&amp;"*"))</f>
        <v/>
      </c>
      <c r="H115">
        <f>IF($A115="","",COUNTIFS(Log!$A$2:$A$5000,$A115,Log!$F$2:$F$5000,"*→ "&amp;H$1&amp;"*"))</f>
        <v/>
      </c>
      <c r="I115">
        <f>IF($A115="","",COUNTIFS(Log!$A$2:$A$5000,$A115,Log!$F$2:$F$5000,"*→ "&amp;I$1&amp;"*"))</f>
        <v/>
      </c>
      <c r="J115">
        <f>IF($A115="","",COUNTIFS(Log!$A$2:$A$5000,$A115,Log!$F$2:$F$5000,"*→ "&amp;J$1&amp;"*"))</f>
        <v/>
      </c>
      <c r="K115">
        <f>IF($A115="","",COUNTIFS(Log!$A$2:$A$5000,$A115,Log!$F$2:$F$5000,"*→ "&amp;K$1&amp;"*"))</f>
        <v/>
      </c>
      <c r="L115">
        <f>IF($A115="","",COUNTIFS(Log!$A$2:$A$5000,$A115,Log!$F$2:$F$5000,"*→ "&amp;L$1&amp;"*"))</f>
        <v/>
      </c>
      <c r="M115">
        <f>IF($A115="","",COUNTIFS(Log!$A$2:$A$5000,$A115,Log!$F$2:$F$5000,"*→ "&amp;M$1&amp;"*"))</f>
        <v/>
      </c>
      <c r="N115">
        <f>IF($A115="","",COUNTIFS(Log!$A$2:$A$5000,$A115,Log!$F$2:$F$5000,"*→ "&amp;N$1&amp;"*"))</f>
        <v/>
      </c>
      <c r="O115">
        <f>IF($A115="","",COUNTIFS(Log!$A$2:$A$5000,$A115,Log!$F$2:$F$5000,"*→ "&amp;O$1&amp;"*"))</f>
        <v/>
      </c>
      <c r="P115">
        <f>IF($A115="","",COUNTIFS(Log!$A$2:$A$5000,$A115,Log!$F$2:$F$5000,"*→ "&amp;P$1&amp;"*"))</f>
        <v/>
      </c>
      <c r="Q115">
        <f>IF($A115="","",COUNTIFS(Log!$A$2:$A$5000,$A115,Log!$F$2:$F$5000,"*→ "&amp;Q$1&amp;"*"))</f>
        <v/>
      </c>
      <c r="R115">
        <f>IF($A115="","",COUNTIFS(Log!$A$2:$A$5000,$A115,Log!$F$2:$F$5000,"*→ "&amp;R$1&amp;"*"))</f>
        <v/>
      </c>
    </row>
    <row r="116">
      <c r="A116">
        <f>IF(Students!A116="","",Students!A116)</f>
        <v/>
      </c>
      <c r="B116">
        <f>IF($A116="","",COUNTIFS(Log!$A$2:$A$5000,$A116,Log!$F$2:$F$5000,"*→ "&amp;B$1&amp;"*"))</f>
        <v/>
      </c>
      <c r="C116">
        <f>IF($A116="","",COUNTIFS(Log!$A$2:$A$5000,$A116,Log!$F$2:$F$5000,"*→ "&amp;C$1&amp;"*"))</f>
        <v/>
      </c>
      <c r="D116">
        <f>IF($A116="","",COUNTIFS(Log!$A$2:$A$5000,$A116,Log!$F$2:$F$5000,"*→ "&amp;D$1&amp;"*"))</f>
        <v/>
      </c>
      <c r="E116">
        <f>IF($A116="","",COUNTIFS(Log!$A$2:$A$5000,$A116,Log!$F$2:$F$5000,"*→ "&amp;E$1&amp;"*"))</f>
        <v/>
      </c>
      <c r="F116">
        <f>IF($A116="","",COUNTIFS(Log!$A$2:$A$5000,$A116,Log!$F$2:$F$5000,"*→ "&amp;F$1&amp;"*"))</f>
        <v/>
      </c>
      <c r="G116">
        <f>IF($A116="","",COUNTIFS(Log!$A$2:$A$5000,$A116,Log!$F$2:$F$5000,"*→ "&amp;G$1&amp;"*"))</f>
        <v/>
      </c>
      <c r="H116">
        <f>IF($A116="","",COUNTIFS(Log!$A$2:$A$5000,$A116,Log!$F$2:$F$5000,"*→ "&amp;H$1&amp;"*"))</f>
        <v/>
      </c>
      <c r="I116">
        <f>IF($A116="","",COUNTIFS(Log!$A$2:$A$5000,$A116,Log!$F$2:$F$5000,"*→ "&amp;I$1&amp;"*"))</f>
        <v/>
      </c>
      <c r="J116">
        <f>IF($A116="","",COUNTIFS(Log!$A$2:$A$5000,$A116,Log!$F$2:$F$5000,"*→ "&amp;J$1&amp;"*"))</f>
        <v/>
      </c>
      <c r="K116">
        <f>IF($A116="","",COUNTIFS(Log!$A$2:$A$5000,$A116,Log!$F$2:$F$5000,"*→ "&amp;K$1&amp;"*"))</f>
        <v/>
      </c>
      <c r="L116">
        <f>IF($A116="","",COUNTIFS(Log!$A$2:$A$5000,$A116,Log!$F$2:$F$5000,"*→ "&amp;L$1&amp;"*"))</f>
        <v/>
      </c>
      <c r="M116">
        <f>IF($A116="","",COUNTIFS(Log!$A$2:$A$5000,$A116,Log!$F$2:$F$5000,"*→ "&amp;M$1&amp;"*"))</f>
        <v/>
      </c>
      <c r="N116">
        <f>IF($A116="","",COUNTIFS(Log!$A$2:$A$5000,$A116,Log!$F$2:$F$5000,"*→ "&amp;N$1&amp;"*"))</f>
        <v/>
      </c>
      <c r="O116">
        <f>IF($A116="","",COUNTIFS(Log!$A$2:$A$5000,$A116,Log!$F$2:$F$5000,"*→ "&amp;O$1&amp;"*"))</f>
        <v/>
      </c>
      <c r="P116">
        <f>IF($A116="","",COUNTIFS(Log!$A$2:$A$5000,$A116,Log!$F$2:$F$5000,"*→ "&amp;P$1&amp;"*"))</f>
        <v/>
      </c>
      <c r="Q116">
        <f>IF($A116="","",COUNTIFS(Log!$A$2:$A$5000,$A116,Log!$F$2:$F$5000,"*→ "&amp;Q$1&amp;"*"))</f>
        <v/>
      </c>
      <c r="R116">
        <f>IF($A116="","",COUNTIFS(Log!$A$2:$A$5000,$A116,Log!$F$2:$F$5000,"*→ "&amp;R$1&amp;"*"))</f>
        <v/>
      </c>
    </row>
    <row r="117">
      <c r="A117">
        <f>IF(Students!A117="","",Students!A117)</f>
        <v/>
      </c>
      <c r="B117">
        <f>IF($A117="","",COUNTIFS(Log!$A$2:$A$5000,$A117,Log!$F$2:$F$5000,"*→ "&amp;B$1&amp;"*"))</f>
        <v/>
      </c>
      <c r="C117">
        <f>IF($A117="","",COUNTIFS(Log!$A$2:$A$5000,$A117,Log!$F$2:$F$5000,"*→ "&amp;C$1&amp;"*"))</f>
        <v/>
      </c>
      <c r="D117">
        <f>IF($A117="","",COUNTIFS(Log!$A$2:$A$5000,$A117,Log!$F$2:$F$5000,"*→ "&amp;D$1&amp;"*"))</f>
        <v/>
      </c>
      <c r="E117">
        <f>IF($A117="","",COUNTIFS(Log!$A$2:$A$5000,$A117,Log!$F$2:$F$5000,"*→ "&amp;E$1&amp;"*"))</f>
        <v/>
      </c>
      <c r="F117">
        <f>IF($A117="","",COUNTIFS(Log!$A$2:$A$5000,$A117,Log!$F$2:$F$5000,"*→ "&amp;F$1&amp;"*"))</f>
        <v/>
      </c>
      <c r="G117">
        <f>IF($A117="","",COUNTIFS(Log!$A$2:$A$5000,$A117,Log!$F$2:$F$5000,"*→ "&amp;G$1&amp;"*"))</f>
        <v/>
      </c>
      <c r="H117">
        <f>IF($A117="","",COUNTIFS(Log!$A$2:$A$5000,$A117,Log!$F$2:$F$5000,"*→ "&amp;H$1&amp;"*"))</f>
        <v/>
      </c>
      <c r="I117">
        <f>IF($A117="","",COUNTIFS(Log!$A$2:$A$5000,$A117,Log!$F$2:$F$5000,"*→ "&amp;I$1&amp;"*"))</f>
        <v/>
      </c>
      <c r="J117">
        <f>IF($A117="","",COUNTIFS(Log!$A$2:$A$5000,$A117,Log!$F$2:$F$5000,"*→ "&amp;J$1&amp;"*"))</f>
        <v/>
      </c>
      <c r="K117">
        <f>IF($A117="","",COUNTIFS(Log!$A$2:$A$5000,$A117,Log!$F$2:$F$5000,"*→ "&amp;K$1&amp;"*"))</f>
        <v/>
      </c>
      <c r="L117">
        <f>IF($A117="","",COUNTIFS(Log!$A$2:$A$5000,$A117,Log!$F$2:$F$5000,"*→ "&amp;L$1&amp;"*"))</f>
        <v/>
      </c>
      <c r="M117">
        <f>IF($A117="","",COUNTIFS(Log!$A$2:$A$5000,$A117,Log!$F$2:$F$5000,"*→ "&amp;M$1&amp;"*"))</f>
        <v/>
      </c>
      <c r="N117">
        <f>IF($A117="","",COUNTIFS(Log!$A$2:$A$5000,$A117,Log!$F$2:$F$5000,"*→ "&amp;N$1&amp;"*"))</f>
        <v/>
      </c>
      <c r="O117">
        <f>IF($A117="","",COUNTIFS(Log!$A$2:$A$5000,$A117,Log!$F$2:$F$5000,"*→ "&amp;O$1&amp;"*"))</f>
        <v/>
      </c>
      <c r="P117">
        <f>IF($A117="","",COUNTIFS(Log!$A$2:$A$5000,$A117,Log!$F$2:$F$5000,"*→ "&amp;P$1&amp;"*"))</f>
        <v/>
      </c>
      <c r="Q117">
        <f>IF($A117="","",COUNTIFS(Log!$A$2:$A$5000,$A117,Log!$F$2:$F$5000,"*→ "&amp;Q$1&amp;"*"))</f>
        <v/>
      </c>
      <c r="R117">
        <f>IF($A117="","",COUNTIFS(Log!$A$2:$A$5000,$A117,Log!$F$2:$F$5000,"*→ "&amp;R$1&amp;"*"))</f>
        <v/>
      </c>
    </row>
    <row r="118">
      <c r="A118">
        <f>IF(Students!A118="","",Students!A118)</f>
        <v/>
      </c>
      <c r="B118">
        <f>IF($A118="","",COUNTIFS(Log!$A$2:$A$5000,$A118,Log!$F$2:$F$5000,"*→ "&amp;B$1&amp;"*"))</f>
        <v/>
      </c>
      <c r="C118">
        <f>IF($A118="","",COUNTIFS(Log!$A$2:$A$5000,$A118,Log!$F$2:$F$5000,"*→ "&amp;C$1&amp;"*"))</f>
        <v/>
      </c>
      <c r="D118">
        <f>IF($A118="","",COUNTIFS(Log!$A$2:$A$5000,$A118,Log!$F$2:$F$5000,"*→ "&amp;D$1&amp;"*"))</f>
        <v/>
      </c>
      <c r="E118">
        <f>IF($A118="","",COUNTIFS(Log!$A$2:$A$5000,$A118,Log!$F$2:$F$5000,"*→ "&amp;E$1&amp;"*"))</f>
        <v/>
      </c>
      <c r="F118">
        <f>IF($A118="","",COUNTIFS(Log!$A$2:$A$5000,$A118,Log!$F$2:$F$5000,"*→ "&amp;F$1&amp;"*"))</f>
        <v/>
      </c>
      <c r="G118">
        <f>IF($A118="","",COUNTIFS(Log!$A$2:$A$5000,$A118,Log!$F$2:$F$5000,"*→ "&amp;G$1&amp;"*"))</f>
        <v/>
      </c>
      <c r="H118">
        <f>IF($A118="","",COUNTIFS(Log!$A$2:$A$5000,$A118,Log!$F$2:$F$5000,"*→ "&amp;H$1&amp;"*"))</f>
        <v/>
      </c>
      <c r="I118">
        <f>IF($A118="","",COUNTIFS(Log!$A$2:$A$5000,$A118,Log!$F$2:$F$5000,"*→ "&amp;I$1&amp;"*"))</f>
        <v/>
      </c>
      <c r="J118">
        <f>IF($A118="","",COUNTIFS(Log!$A$2:$A$5000,$A118,Log!$F$2:$F$5000,"*→ "&amp;J$1&amp;"*"))</f>
        <v/>
      </c>
      <c r="K118">
        <f>IF($A118="","",COUNTIFS(Log!$A$2:$A$5000,$A118,Log!$F$2:$F$5000,"*→ "&amp;K$1&amp;"*"))</f>
        <v/>
      </c>
      <c r="L118">
        <f>IF($A118="","",COUNTIFS(Log!$A$2:$A$5000,$A118,Log!$F$2:$F$5000,"*→ "&amp;L$1&amp;"*"))</f>
        <v/>
      </c>
      <c r="M118">
        <f>IF($A118="","",COUNTIFS(Log!$A$2:$A$5000,$A118,Log!$F$2:$F$5000,"*→ "&amp;M$1&amp;"*"))</f>
        <v/>
      </c>
      <c r="N118">
        <f>IF($A118="","",COUNTIFS(Log!$A$2:$A$5000,$A118,Log!$F$2:$F$5000,"*→ "&amp;N$1&amp;"*"))</f>
        <v/>
      </c>
      <c r="O118">
        <f>IF($A118="","",COUNTIFS(Log!$A$2:$A$5000,$A118,Log!$F$2:$F$5000,"*→ "&amp;O$1&amp;"*"))</f>
        <v/>
      </c>
      <c r="P118">
        <f>IF($A118="","",COUNTIFS(Log!$A$2:$A$5000,$A118,Log!$F$2:$F$5000,"*→ "&amp;P$1&amp;"*"))</f>
        <v/>
      </c>
      <c r="Q118">
        <f>IF($A118="","",COUNTIFS(Log!$A$2:$A$5000,$A118,Log!$F$2:$F$5000,"*→ "&amp;Q$1&amp;"*"))</f>
        <v/>
      </c>
      <c r="R118">
        <f>IF($A118="","",COUNTIFS(Log!$A$2:$A$5000,$A118,Log!$F$2:$F$5000,"*→ "&amp;R$1&amp;"*"))</f>
        <v/>
      </c>
    </row>
    <row r="119">
      <c r="A119">
        <f>IF(Students!A119="","",Students!A119)</f>
        <v/>
      </c>
      <c r="B119">
        <f>IF($A119="","",COUNTIFS(Log!$A$2:$A$5000,$A119,Log!$F$2:$F$5000,"*→ "&amp;B$1&amp;"*"))</f>
        <v/>
      </c>
      <c r="C119">
        <f>IF($A119="","",COUNTIFS(Log!$A$2:$A$5000,$A119,Log!$F$2:$F$5000,"*→ "&amp;C$1&amp;"*"))</f>
        <v/>
      </c>
      <c r="D119">
        <f>IF($A119="","",COUNTIFS(Log!$A$2:$A$5000,$A119,Log!$F$2:$F$5000,"*→ "&amp;D$1&amp;"*"))</f>
        <v/>
      </c>
      <c r="E119">
        <f>IF($A119="","",COUNTIFS(Log!$A$2:$A$5000,$A119,Log!$F$2:$F$5000,"*→ "&amp;E$1&amp;"*"))</f>
        <v/>
      </c>
      <c r="F119">
        <f>IF($A119="","",COUNTIFS(Log!$A$2:$A$5000,$A119,Log!$F$2:$F$5000,"*→ "&amp;F$1&amp;"*"))</f>
        <v/>
      </c>
      <c r="G119">
        <f>IF($A119="","",COUNTIFS(Log!$A$2:$A$5000,$A119,Log!$F$2:$F$5000,"*→ "&amp;G$1&amp;"*"))</f>
        <v/>
      </c>
      <c r="H119">
        <f>IF($A119="","",COUNTIFS(Log!$A$2:$A$5000,$A119,Log!$F$2:$F$5000,"*→ "&amp;H$1&amp;"*"))</f>
        <v/>
      </c>
      <c r="I119">
        <f>IF($A119="","",COUNTIFS(Log!$A$2:$A$5000,$A119,Log!$F$2:$F$5000,"*→ "&amp;I$1&amp;"*"))</f>
        <v/>
      </c>
      <c r="J119">
        <f>IF($A119="","",COUNTIFS(Log!$A$2:$A$5000,$A119,Log!$F$2:$F$5000,"*→ "&amp;J$1&amp;"*"))</f>
        <v/>
      </c>
      <c r="K119">
        <f>IF($A119="","",COUNTIFS(Log!$A$2:$A$5000,$A119,Log!$F$2:$F$5000,"*→ "&amp;K$1&amp;"*"))</f>
        <v/>
      </c>
      <c r="L119">
        <f>IF($A119="","",COUNTIFS(Log!$A$2:$A$5000,$A119,Log!$F$2:$F$5000,"*→ "&amp;L$1&amp;"*"))</f>
        <v/>
      </c>
      <c r="M119">
        <f>IF($A119="","",COUNTIFS(Log!$A$2:$A$5000,$A119,Log!$F$2:$F$5000,"*→ "&amp;M$1&amp;"*"))</f>
        <v/>
      </c>
      <c r="N119">
        <f>IF($A119="","",COUNTIFS(Log!$A$2:$A$5000,$A119,Log!$F$2:$F$5000,"*→ "&amp;N$1&amp;"*"))</f>
        <v/>
      </c>
      <c r="O119">
        <f>IF($A119="","",COUNTIFS(Log!$A$2:$A$5000,$A119,Log!$F$2:$F$5000,"*→ "&amp;O$1&amp;"*"))</f>
        <v/>
      </c>
      <c r="P119">
        <f>IF($A119="","",COUNTIFS(Log!$A$2:$A$5000,$A119,Log!$F$2:$F$5000,"*→ "&amp;P$1&amp;"*"))</f>
        <v/>
      </c>
      <c r="Q119">
        <f>IF($A119="","",COUNTIFS(Log!$A$2:$A$5000,$A119,Log!$F$2:$F$5000,"*→ "&amp;Q$1&amp;"*"))</f>
        <v/>
      </c>
      <c r="R119">
        <f>IF($A119="","",COUNTIFS(Log!$A$2:$A$5000,$A119,Log!$F$2:$F$5000,"*→ "&amp;R$1&amp;"*"))</f>
        <v/>
      </c>
    </row>
    <row r="120">
      <c r="A120">
        <f>IF(Students!A120="","",Students!A120)</f>
        <v/>
      </c>
      <c r="B120">
        <f>IF($A120="","",COUNTIFS(Log!$A$2:$A$5000,$A120,Log!$F$2:$F$5000,"*→ "&amp;B$1&amp;"*"))</f>
        <v/>
      </c>
      <c r="C120">
        <f>IF($A120="","",COUNTIFS(Log!$A$2:$A$5000,$A120,Log!$F$2:$F$5000,"*→ "&amp;C$1&amp;"*"))</f>
        <v/>
      </c>
      <c r="D120">
        <f>IF($A120="","",COUNTIFS(Log!$A$2:$A$5000,$A120,Log!$F$2:$F$5000,"*→ "&amp;D$1&amp;"*"))</f>
        <v/>
      </c>
      <c r="E120">
        <f>IF($A120="","",COUNTIFS(Log!$A$2:$A$5000,$A120,Log!$F$2:$F$5000,"*→ "&amp;E$1&amp;"*"))</f>
        <v/>
      </c>
      <c r="F120">
        <f>IF($A120="","",COUNTIFS(Log!$A$2:$A$5000,$A120,Log!$F$2:$F$5000,"*→ "&amp;F$1&amp;"*"))</f>
        <v/>
      </c>
      <c r="G120">
        <f>IF($A120="","",COUNTIFS(Log!$A$2:$A$5000,$A120,Log!$F$2:$F$5000,"*→ "&amp;G$1&amp;"*"))</f>
        <v/>
      </c>
      <c r="H120">
        <f>IF($A120="","",COUNTIFS(Log!$A$2:$A$5000,$A120,Log!$F$2:$F$5000,"*→ "&amp;H$1&amp;"*"))</f>
        <v/>
      </c>
      <c r="I120">
        <f>IF($A120="","",COUNTIFS(Log!$A$2:$A$5000,$A120,Log!$F$2:$F$5000,"*→ "&amp;I$1&amp;"*"))</f>
        <v/>
      </c>
      <c r="J120">
        <f>IF($A120="","",COUNTIFS(Log!$A$2:$A$5000,$A120,Log!$F$2:$F$5000,"*→ "&amp;J$1&amp;"*"))</f>
        <v/>
      </c>
      <c r="K120">
        <f>IF($A120="","",COUNTIFS(Log!$A$2:$A$5000,$A120,Log!$F$2:$F$5000,"*→ "&amp;K$1&amp;"*"))</f>
        <v/>
      </c>
      <c r="L120">
        <f>IF($A120="","",COUNTIFS(Log!$A$2:$A$5000,$A120,Log!$F$2:$F$5000,"*→ "&amp;L$1&amp;"*"))</f>
        <v/>
      </c>
      <c r="M120">
        <f>IF($A120="","",COUNTIFS(Log!$A$2:$A$5000,$A120,Log!$F$2:$F$5000,"*→ "&amp;M$1&amp;"*"))</f>
        <v/>
      </c>
      <c r="N120">
        <f>IF($A120="","",COUNTIFS(Log!$A$2:$A$5000,$A120,Log!$F$2:$F$5000,"*→ "&amp;N$1&amp;"*"))</f>
        <v/>
      </c>
      <c r="O120">
        <f>IF($A120="","",COUNTIFS(Log!$A$2:$A$5000,$A120,Log!$F$2:$F$5000,"*→ "&amp;O$1&amp;"*"))</f>
        <v/>
      </c>
      <c r="P120">
        <f>IF($A120="","",COUNTIFS(Log!$A$2:$A$5000,$A120,Log!$F$2:$F$5000,"*→ "&amp;P$1&amp;"*"))</f>
        <v/>
      </c>
      <c r="Q120">
        <f>IF($A120="","",COUNTIFS(Log!$A$2:$A$5000,$A120,Log!$F$2:$F$5000,"*→ "&amp;Q$1&amp;"*"))</f>
        <v/>
      </c>
      <c r="R120">
        <f>IF($A120="","",COUNTIFS(Log!$A$2:$A$5000,$A120,Log!$F$2:$F$5000,"*→ "&amp;R$1&amp;"*"))</f>
        <v/>
      </c>
    </row>
    <row r="121">
      <c r="A121">
        <f>IF(Students!A121="","",Students!A121)</f>
        <v/>
      </c>
      <c r="B121">
        <f>IF($A121="","",COUNTIFS(Log!$A$2:$A$5000,$A121,Log!$F$2:$F$5000,"*→ "&amp;B$1&amp;"*"))</f>
        <v/>
      </c>
      <c r="C121">
        <f>IF($A121="","",COUNTIFS(Log!$A$2:$A$5000,$A121,Log!$F$2:$F$5000,"*→ "&amp;C$1&amp;"*"))</f>
        <v/>
      </c>
      <c r="D121">
        <f>IF($A121="","",COUNTIFS(Log!$A$2:$A$5000,$A121,Log!$F$2:$F$5000,"*→ "&amp;D$1&amp;"*"))</f>
        <v/>
      </c>
      <c r="E121">
        <f>IF($A121="","",COUNTIFS(Log!$A$2:$A$5000,$A121,Log!$F$2:$F$5000,"*→ "&amp;E$1&amp;"*"))</f>
        <v/>
      </c>
      <c r="F121">
        <f>IF($A121="","",COUNTIFS(Log!$A$2:$A$5000,$A121,Log!$F$2:$F$5000,"*→ "&amp;F$1&amp;"*"))</f>
        <v/>
      </c>
      <c r="G121">
        <f>IF($A121="","",COUNTIFS(Log!$A$2:$A$5000,$A121,Log!$F$2:$F$5000,"*→ "&amp;G$1&amp;"*"))</f>
        <v/>
      </c>
      <c r="H121">
        <f>IF($A121="","",COUNTIFS(Log!$A$2:$A$5000,$A121,Log!$F$2:$F$5000,"*→ "&amp;H$1&amp;"*"))</f>
        <v/>
      </c>
      <c r="I121">
        <f>IF($A121="","",COUNTIFS(Log!$A$2:$A$5000,$A121,Log!$F$2:$F$5000,"*→ "&amp;I$1&amp;"*"))</f>
        <v/>
      </c>
      <c r="J121">
        <f>IF($A121="","",COUNTIFS(Log!$A$2:$A$5000,$A121,Log!$F$2:$F$5000,"*→ "&amp;J$1&amp;"*"))</f>
        <v/>
      </c>
      <c r="K121">
        <f>IF($A121="","",COUNTIFS(Log!$A$2:$A$5000,$A121,Log!$F$2:$F$5000,"*→ "&amp;K$1&amp;"*"))</f>
        <v/>
      </c>
      <c r="L121">
        <f>IF($A121="","",COUNTIFS(Log!$A$2:$A$5000,$A121,Log!$F$2:$F$5000,"*→ "&amp;L$1&amp;"*"))</f>
        <v/>
      </c>
      <c r="M121">
        <f>IF($A121="","",COUNTIFS(Log!$A$2:$A$5000,$A121,Log!$F$2:$F$5000,"*→ "&amp;M$1&amp;"*"))</f>
        <v/>
      </c>
      <c r="N121">
        <f>IF($A121="","",COUNTIFS(Log!$A$2:$A$5000,$A121,Log!$F$2:$F$5000,"*→ "&amp;N$1&amp;"*"))</f>
        <v/>
      </c>
      <c r="O121">
        <f>IF($A121="","",COUNTIFS(Log!$A$2:$A$5000,$A121,Log!$F$2:$F$5000,"*→ "&amp;O$1&amp;"*"))</f>
        <v/>
      </c>
      <c r="P121">
        <f>IF($A121="","",COUNTIFS(Log!$A$2:$A$5000,$A121,Log!$F$2:$F$5000,"*→ "&amp;P$1&amp;"*"))</f>
        <v/>
      </c>
      <c r="Q121">
        <f>IF($A121="","",COUNTIFS(Log!$A$2:$A$5000,$A121,Log!$F$2:$F$5000,"*→ "&amp;Q$1&amp;"*"))</f>
        <v/>
      </c>
      <c r="R121">
        <f>IF($A121="","",COUNTIFS(Log!$A$2:$A$5000,$A121,Log!$F$2:$F$5000,"*→ "&amp;R$1&amp;"*"))</f>
        <v/>
      </c>
    </row>
    <row r="122">
      <c r="A122">
        <f>IF(Students!A122="","",Students!A122)</f>
        <v/>
      </c>
      <c r="B122">
        <f>IF($A122="","",COUNTIFS(Log!$A$2:$A$5000,$A122,Log!$F$2:$F$5000,"*→ "&amp;B$1&amp;"*"))</f>
        <v/>
      </c>
      <c r="C122">
        <f>IF($A122="","",COUNTIFS(Log!$A$2:$A$5000,$A122,Log!$F$2:$F$5000,"*→ "&amp;C$1&amp;"*"))</f>
        <v/>
      </c>
      <c r="D122">
        <f>IF($A122="","",COUNTIFS(Log!$A$2:$A$5000,$A122,Log!$F$2:$F$5000,"*→ "&amp;D$1&amp;"*"))</f>
        <v/>
      </c>
      <c r="E122">
        <f>IF($A122="","",COUNTIFS(Log!$A$2:$A$5000,$A122,Log!$F$2:$F$5000,"*→ "&amp;E$1&amp;"*"))</f>
        <v/>
      </c>
      <c r="F122">
        <f>IF($A122="","",COUNTIFS(Log!$A$2:$A$5000,$A122,Log!$F$2:$F$5000,"*→ "&amp;F$1&amp;"*"))</f>
        <v/>
      </c>
      <c r="G122">
        <f>IF($A122="","",COUNTIFS(Log!$A$2:$A$5000,$A122,Log!$F$2:$F$5000,"*→ "&amp;G$1&amp;"*"))</f>
        <v/>
      </c>
      <c r="H122">
        <f>IF($A122="","",COUNTIFS(Log!$A$2:$A$5000,$A122,Log!$F$2:$F$5000,"*→ "&amp;H$1&amp;"*"))</f>
        <v/>
      </c>
      <c r="I122">
        <f>IF($A122="","",COUNTIFS(Log!$A$2:$A$5000,$A122,Log!$F$2:$F$5000,"*→ "&amp;I$1&amp;"*"))</f>
        <v/>
      </c>
      <c r="J122">
        <f>IF($A122="","",COUNTIFS(Log!$A$2:$A$5000,$A122,Log!$F$2:$F$5000,"*→ "&amp;J$1&amp;"*"))</f>
        <v/>
      </c>
      <c r="K122">
        <f>IF($A122="","",COUNTIFS(Log!$A$2:$A$5000,$A122,Log!$F$2:$F$5000,"*→ "&amp;K$1&amp;"*"))</f>
        <v/>
      </c>
      <c r="L122">
        <f>IF($A122="","",COUNTIFS(Log!$A$2:$A$5000,$A122,Log!$F$2:$F$5000,"*→ "&amp;L$1&amp;"*"))</f>
        <v/>
      </c>
      <c r="M122">
        <f>IF($A122="","",COUNTIFS(Log!$A$2:$A$5000,$A122,Log!$F$2:$F$5000,"*→ "&amp;M$1&amp;"*"))</f>
        <v/>
      </c>
      <c r="N122">
        <f>IF($A122="","",COUNTIFS(Log!$A$2:$A$5000,$A122,Log!$F$2:$F$5000,"*→ "&amp;N$1&amp;"*"))</f>
        <v/>
      </c>
      <c r="O122">
        <f>IF($A122="","",COUNTIFS(Log!$A$2:$A$5000,$A122,Log!$F$2:$F$5000,"*→ "&amp;O$1&amp;"*"))</f>
        <v/>
      </c>
      <c r="P122">
        <f>IF($A122="","",COUNTIFS(Log!$A$2:$A$5000,$A122,Log!$F$2:$F$5000,"*→ "&amp;P$1&amp;"*"))</f>
        <v/>
      </c>
      <c r="Q122">
        <f>IF($A122="","",COUNTIFS(Log!$A$2:$A$5000,$A122,Log!$F$2:$F$5000,"*→ "&amp;Q$1&amp;"*"))</f>
        <v/>
      </c>
      <c r="R122">
        <f>IF($A122="","",COUNTIFS(Log!$A$2:$A$5000,$A122,Log!$F$2:$F$5000,"*→ "&amp;R$1&amp;"*"))</f>
        <v/>
      </c>
    </row>
    <row r="123">
      <c r="A123">
        <f>IF(Students!A123="","",Students!A123)</f>
        <v/>
      </c>
      <c r="B123">
        <f>IF($A123="","",COUNTIFS(Log!$A$2:$A$5000,$A123,Log!$F$2:$F$5000,"*→ "&amp;B$1&amp;"*"))</f>
        <v/>
      </c>
      <c r="C123">
        <f>IF($A123="","",COUNTIFS(Log!$A$2:$A$5000,$A123,Log!$F$2:$F$5000,"*→ "&amp;C$1&amp;"*"))</f>
        <v/>
      </c>
      <c r="D123">
        <f>IF($A123="","",COUNTIFS(Log!$A$2:$A$5000,$A123,Log!$F$2:$F$5000,"*→ "&amp;D$1&amp;"*"))</f>
        <v/>
      </c>
      <c r="E123">
        <f>IF($A123="","",COUNTIFS(Log!$A$2:$A$5000,$A123,Log!$F$2:$F$5000,"*→ "&amp;E$1&amp;"*"))</f>
        <v/>
      </c>
      <c r="F123">
        <f>IF($A123="","",COUNTIFS(Log!$A$2:$A$5000,$A123,Log!$F$2:$F$5000,"*→ "&amp;F$1&amp;"*"))</f>
        <v/>
      </c>
      <c r="G123">
        <f>IF($A123="","",COUNTIFS(Log!$A$2:$A$5000,$A123,Log!$F$2:$F$5000,"*→ "&amp;G$1&amp;"*"))</f>
        <v/>
      </c>
      <c r="H123">
        <f>IF($A123="","",COUNTIFS(Log!$A$2:$A$5000,$A123,Log!$F$2:$F$5000,"*→ "&amp;H$1&amp;"*"))</f>
        <v/>
      </c>
      <c r="I123">
        <f>IF($A123="","",COUNTIFS(Log!$A$2:$A$5000,$A123,Log!$F$2:$F$5000,"*→ "&amp;I$1&amp;"*"))</f>
        <v/>
      </c>
      <c r="J123">
        <f>IF($A123="","",COUNTIFS(Log!$A$2:$A$5000,$A123,Log!$F$2:$F$5000,"*→ "&amp;J$1&amp;"*"))</f>
        <v/>
      </c>
      <c r="K123">
        <f>IF($A123="","",COUNTIFS(Log!$A$2:$A$5000,$A123,Log!$F$2:$F$5000,"*→ "&amp;K$1&amp;"*"))</f>
        <v/>
      </c>
      <c r="L123">
        <f>IF($A123="","",COUNTIFS(Log!$A$2:$A$5000,$A123,Log!$F$2:$F$5000,"*→ "&amp;L$1&amp;"*"))</f>
        <v/>
      </c>
      <c r="M123">
        <f>IF($A123="","",COUNTIFS(Log!$A$2:$A$5000,$A123,Log!$F$2:$F$5000,"*→ "&amp;M$1&amp;"*"))</f>
        <v/>
      </c>
      <c r="N123">
        <f>IF($A123="","",COUNTIFS(Log!$A$2:$A$5000,$A123,Log!$F$2:$F$5000,"*→ "&amp;N$1&amp;"*"))</f>
        <v/>
      </c>
      <c r="O123">
        <f>IF($A123="","",COUNTIFS(Log!$A$2:$A$5000,$A123,Log!$F$2:$F$5000,"*→ "&amp;O$1&amp;"*"))</f>
        <v/>
      </c>
      <c r="P123">
        <f>IF($A123="","",COUNTIFS(Log!$A$2:$A$5000,$A123,Log!$F$2:$F$5000,"*→ "&amp;P$1&amp;"*"))</f>
        <v/>
      </c>
      <c r="Q123">
        <f>IF($A123="","",COUNTIFS(Log!$A$2:$A$5000,$A123,Log!$F$2:$F$5000,"*→ "&amp;Q$1&amp;"*"))</f>
        <v/>
      </c>
      <c r="R123">
        <f>IF($A123="","",COUNTIFS(Log!$A$2:$A$5000,$A123,Log!$F$2:$F$5000,"*→ "&amp;R$1&amp;"*"))</f>
        <v/>
      </c>
    </row>
    <row r="124">
      <c r="A124">
        <f>IF(Students!A124="","",Students!A124)</f>
        <v/>
      </c>
      <c r="B124">
        <f>IF($A124="","",COUNTIFS(Log!$A$2:$A$5000,$A124,Log!$F$2:$F$5000,"*→ "&amp;B$1&amp;"*"))</f>
        <v/>
      </c>
      <c r="C124">
        <f>IF($A124="","",COUNTIFS(Log!$A$2:$A$5000,$A124,Log!$F$2:$F$5000,"*→ "&amp;C$1&amp;"*"))</f>
        <v/>
      </c>
      <c r="D124">
        <f>IF($A124="","",COUNTIFS(Log!$A$2:$A$5000,$A124,Log!$F$2:$F$5000,"*→ "&amp;D$1&amp;"*"))</f>
        <v/>
      </c>
      <c r="E124">
        <f>IF($A124="","",COUNTIFS(Log!$A$2:$A$5000,$A124,Log!$F$2:$F$5000,"*→ "&amp;E$1&amp;"*"))</f>
        <v/>
      </c>
      <c r="F124">
        <f>IF($A124="","",COUNTIFS(Log!$A$2:$A$5000,$A124,Log!$F$2:$F$5000,"*→ "&amp;F$1&amp;"*"))</f>
        <v/>
      </c>
      <c r="G124">
        <f>IF($A124="","",COUNTIFS(Log!$A$2:$A$5000,$A124,Log!$F$2:$F$5000,"*→ "&amp;G$1&amp;"*"))</f>
        <v/>
      </c>
      <c r="H124">
        <f>IF($A124="","",COUNTIFS(Log!$A$2:$A$5000,$A124,Log!$F$2:$F$5000,"*→ "&amp;H$1&amp;"*"))</f>
        <v/>
      </c>
      <c r="I124">
        <f>IF($A124="","",COUNTIFS(Log!$A$2:$A$5000,$A124,Log!$F$2:$F$5000,"*→ "&amp;I$1&amp;"*"))</f>
        <v/>
      </c>
      <c r="J124">
        <f>IF($A124="","",COUNTIFS(Log!$A$2:$A$5000,$A124,Log!$F$2:$F$5000,"*→ "&amp;J$1&amp;"*"))</f>
        <v/>
      </c>
      <c r="K124">
        <f>IF($A124="","",COUNTIFS(Log!$A$2:$A$5000,$A124,Log!$F$2:$F$5000,"*→ "&amp;K$1&amp;"*"))</f>
        <v/>
      </c>
      <c r="L124">
        <f>IF($A124="","",COUNTIFS(Log!$A$2:$A$5000,$A124,Log!$F$2:$F$5000,"*→ "&amp;L$1&amp;"*"))</f>
        <v/>
      </c>
      <c r="M124">
        <f>IF($A124="","",COUNTIFS(Log!$A$2:$A$5000,$A124,Log!$F$2:$F$5000,"*→ "&amp;M$1&amp;"*"))</f>
        <v/>
      </c>
      <c r="N124">
        <f>IF($A124="","",COUNTIFS(Log!$A$2:$A$5000,$A124,Log!$F$2:$F$5000,"*→ "&amp;N$1&amp;"*"))</f>
        <v/>
      </c>
      <c r="O124">
        <f>IF($A124="","",COUNTIFS(Log!$A$2:$A$5000,$A124,Log!$F$2:$F$5000,"*→ "&amp;O$1&amp;"*"))</f>
        <v/>
      </c>
      <c r="P124">
        <f>IF($A124="","",COUNTIFS(Log!$A$2:$A$5000,$A124,Log!$F$2:$F$5000,"*→ "&amp;P$1&amp;"*"))</f>
        <v/>
      </c>
      <c r="Q124">
        <f>IF($A124="","",COUNTIFS(Log!$A$2:$A$5000,$A124,Log!$F$2:$F$5000,"*→ "&amp;Q$1&amp;"*"))</f>
        <v/>
      </c>
      <c r="R124">
        <f>IF($A124="","",COUNTIFS(Log!$A$2:$A$5000,$A124,Log!$F$2:$F$5000,"*→ "&amp;R$1&amp;"*"))</f>
        <v/>
      </c>
    </row>
    <row r="125">
      <c r="A125">
        <f>IF(Students!A125="","",Students!A125)</f>
        <v/>
      </c>
      <c r="B125">
        <f>IF($A125="","",COUNTIFS(Log!$A$2:$A$5000,$A125,Log!$F$2:$F$5000,"*→ "&amp;B$1&amp;"*"))</f>
        <v/>
      </c>
      <c r="C125">
        <f>IF($A125="","",COUNTIFS(Log!$A$2:$A$5000,$A125,Log!$F$2:$F$5000,"*→ "&amp;C$1&amp;"*"))</f>
        <v/>
      </c>
      <c r="D125">
        <f>IF($A125="","",COUNTIFS(Log!$A$2:$A$5000,$A125,Log!$F$2:$F$5000,"*→ "&amp;D$1&amp;"*"))</f>
        <v/>
      </c>
      <c r="E125">
        <f>IF($A125="","",COUNTIFS(Log!$A$2:$A$5000,$A125,Log!$F$2:$F$5000,"*→ "&amp;E$1&amp;"*"))</f>
        <v/>
      </c>
      <c r="F125">
        <f>IF($A125="","",COUNTIFS(Log!$A$2:$A$5000,$A125,Log!$F$2:$F$5000,"*→ "&amp;F$1&amp;"*"))</f>
        <v/>
      </c>
      <c r="G125">
        <f>IF($A125="","",COUNTIFS(Log!$A$2:$A$5000,$A125,Log!$F$2:$F$5000,"*→ "&amp;G$1&amp;"*"))</f>
        <v/>
      </c>
      <c r="H125">
        <f>IF($A125="","",COUNTIFS(Log!$A$2:$A$5000,$A125,Log!$F$2:$F$5000,"*→ "&amp;H$1&amp;"*"))</f>
        <v/>
      </c>
      <c r="I125">
        <f>IF($A125="","",COUNTIFS(Log!$A$2:$A$5000,$A125,Log!$F$2:$F$5000,"*→ "&amp;I$1&amp;"*"))</f>
        <v/>
      </c>
      <c r="J125">
        <f>IF($A125="","",COUNTIFS(Log!$A$2:$A$5000,$A125,Log!$F$2:$F$5000,"*→ "&amp;J$1&amp;"*"))</f>
        <v/>
      </c>
      <c r="K125">
        <f>IF($A125="","",COUNTIFS(Log!$A$2:$A$5000,$A125,Log!$F$2:$F$5000,"*→ "&amp;K$1&amp;"*"))</f>
        <v/>
      </c>
      <c r="L125">
        <f>IF($A125="","",COUNTIFS(Log!$A$2:$A$5000,$A125,Log!$F$2:$F$5000,"*→ "&amp;L$1&amp;"*"))</f>
        <v/>
      </c>
      <c r="M125">
        <f>IF($A125="","",COUNTIFS(Log!$A$2:$A$5000,$A125,Log!$F$2:$F$5000,"*→ "&amp;M$1&amp;"*"))</f>
        <v/>
      </c>
      <c r="N125">
        <f>IF($A125="","",COUNTIFS(Log!$A$2:$A$5000,$A125,Log!$F$2:$F$5000,"*→ "&amp;N$1&amp;"*"))</f>
        <v/>
      </c>
      <c r="O125">
        <f>IF($A125="","",COUNTIFS(Log!$A$2:$A$5000,$A125,Log!$F$2:$F$5000,"*→ "&amp;O$1&amp;"*"))</f>
        <v/>
      </c>
      <c r="P125">
        <f>IF($A125="","",COUNTIFS(Log!$A$2:$A$5000,$A125,Log!$F$2:$F$5000,"*→ "&amp;P$1&amp;"*"))</f>
        <v/>
      </c>
      <c r="Q125">
        <f>IF($A125="","",COUNTIFS(Log!$A$2:$A$5000,$A125,Log!$F$2:$F$5000,"*→ "&amp;Q$1&amp;"*"))</f>
        <v/>
      </c>
      <c r="R125">
        <f>IF($A125="","",COUNTIFS(Log!$A$2:$A$5000,$A125,Log!$F$2:$F$5000,"*→ "&amp;R$1&amp;"*"))</f>
        <v/>
      </c>
    </row>
    <row r="126">
      <c r="A126">
        <f>IF(Students!A126="","",Students!A126)</f>
        <v/>
      </c>
      <c r="B126">
        <f>IF($A126="","",COUNTIFS(Log!$A$2:$A$5000,$A126,Log!$F$2:$F$5000,"*→ "&amp;B$1&amp;"*"))</f>
        <v/>
      </c>
      <c r="C126">
        <f>IF($A126="","",COUNTIFS(Log!$A$2:$A$5000,$A126,Log!$F$2:$F$5000,"*→ "&amp;C$1&amp;"*"))</f>
        <v/>
      </c>
      <c r="D126">
        <f>IF($A126="","",COUNTIFS(Log!$A$2:$A$5000,$A126,Log!$F$2:$F$5000,"*→ "&amp;D$1&amp;"*"))</f>
        <v/>
      </c>
      <c r="E126">
        <f>IF($A126="","",COUNTIFS(Log!$A$2:$A$5000,$A126,Log!$F$2:$F$5000,"*→ "&amp;E$1&amp;"*"))</f>
        <v/>
      </c>
      <c r="F126">
        <f>IF($A126="","",COUNTIFS(Log!$A$2:$A$5000,$A126,Log!$F$2:$F$5000,"*→ "&amp;F$1&amp;"*"))</f>
        <v/>
      </c>
      <c r="G126">
        <f>IF($A126="","",COUNTIFS(Log!$A$2:$A$5000,$A126,Log!$F$2:$F$5000,"*→ "&amp;G$1&amp;"*"))</f>
        <v/>
      </c>
      <c r="H126">
        <f>IF($A126="","",COUNTIFS(Log!$A$2:$A$5000,$A126,Log!$F$2:$F$5000,"*→ "&amp;H$1&amp;"*"))</f>
        <v/>
      </c>
      <c r="I126">
        <f>IF($A126="","",COUNTIFS(Log!$A$2:$A$5000,$A126,Log!$F$2:$F$5000,"*→ "&amp;I$1&amp;"*"))</f>
        <v/>
      </c>
      <c r="J126">
        <f>IF($A126="","",COUNTIFS(Log!$A$2:$A$5000,$A126,Log!$F$2:$F$5000,"*→ "&amp;J$1&amp;"*"))</f>
        <v/>
      </c>
      <c r="K126">
        <f>IF($A126="","",COUNTIFS(Log!$A$2:$A$5000,$A126,Log!$F$2:$F$5000,"*→ "&amp;K$1&amp;"*"))</f>
        <v/>
      </c>
      <c r="L126">
        <f>IF($A126="","",COUNTIFS(Log!$A$2:$A$5000,$A126,Log!$F$2:$F$5000,"*→ "&amp;L$1&amp;"*"))</f>
        <v/>
      </c>
      <c r="M126">
        <f>IF($A126="","",COUNTIFS(Log!$A$2:$A$5000,$A126,Log!$F$2:$F$5000,"*→ "&amp;M$1&amp;"*"))</f>
        <v/>
      </c>
      <c r="N126">
        <f>IF($A126="","",COUNTIFS(Log!$A$2:$A$5000,$A126,Log!$F$2:$F$5000,"*→ "&amp;N$1&amp;"*"))</f>
        <v/>
      </c>
      <c r="O126">
        <f>IF($A126="","",COUNTIFS(Log!$A$2:$A$5000,$A126,Log!$F$2:$F$5000,"*→ "&amp;O$1&amp;"*"))</f>
        <v/>
      </c>
      <c r="P126">
        <f>IF($A126="","",COUNTIFS(Log!$A$2:$A$5000,$A126,Log!$F$2:$F$5000,"*→ "&amp;P$1&amp;"*"))</f>
        <v/>
      </c>
      <c r="Q126">
        <f>IF($A126="","",COUNTIFS(Log!$A$2:$A$5000,$A126,Log!$F$2:$F$5000,"*→ "&amp;Q$1&amp;"*"))</f>
        <v/>
      </c>
      <c r="R126">
        <f>IF($A126="","",COUNTIFS(Log!$A$2:$A$5000,$A126,Log!$F$2:$F$5000,"*→ "&amp;R$1&amp;"*"))</f>
        <v/>
      </c>
    </row>
    <row r="127">
      <c r="A127">
        <f>IF(Students!A127="","",Students!A127)</f>
        <v/>
      </c>
      <c r="B127">
        <f>IF($A127="","",COUNTIFS(Log!$A$2:$A$5000,$A127,Log!$F$2:$F$5000,"*→ "&amp;B$1&amp;"*"))</f>
        <v/>
      </c>
      <c r="C127">
        <f>IF($A127="","",COUNTIFS(Log!$A$2:$A$5000,$A127,Log!$F$2:$F$5000,"*→ "&amp;C$1&amp;"*"))</f>
        <v/>
      </c>
      <c r="D127">
        <f>IF($A127="","",COUNTIFS(Log!$A$2:$A$5000,$A127,Log!$F$2:$F$5000,"*→ "&amp;D$1&amp;"*"))</f>
        <v/>
      </c>
      <c r="E127">
        <f>IF($A127="","",COUNTIFS(Log!$A$2:$A$5000,$A127,Log!$F$2:$F$5000,"*→ "&amp;E$1&amp;"*"))</f>
        <v/>
      </c>
      <c r="F127">
        <f>IF($A127="","",COUNTIFS(Log!$A$2:$A$5000,$A127,Log!$F$2:$F$5000,"*→ "&amp;F$1&amp;"*"))</f>
        <v/>
      </c>
      <c r="G127">
        <f>IF($A127="","",COUNTIFS(Log!$A$2:$A$5000,$A127,Log!$F$2:$F$5000,"*→ "&amp;G$1&amp;"*"))</f>
        <v/>
      </c>
      <c r="H127">
        <f>IF($A127="","",COUNTIFS(Log!$A$2:$A$5000,$A127,Log!$F$2:$F$5000,"*→ "&amp;H$1&amp;"*"))</f>
        <v/>
      </c>
      <c r="I127">
        <f>IF($A127="","",COUNTIFS(Log!$A$2:$A$5000,$A127,Log!$F$2:$F$5000,"*→ "&amp;I$1&amp;"*"))</f>
        <v/>
      </c>
      <c r="J127">
        <f>IF($A127="","",COUNTIFS(Log!$A$2:$A$5000,$A127,Log!$F$2:$F$5000,"*→ "&amp;J$1&amp;"*"))</f>
        <v/>
      </c>
      <c r="K127">
        <f>IF($A127="","",COUNTIFS(Log!$A$2:$A$5000,$A127,Log!$F$2:$F$5000,"*→ "&amp;K$1&amp;"*"))</f>
        <v/>
      </c>
      <c r="L127">
        <f>IF($A127="","",COUNTIFS(Log!$A$2:$A$5000,$A127,Log!$F$2:$F$5000,"*→ "&amp;L$1&amp;"*"))</f>
        <v/>
      </c>
      <c r="M127">
        <f>IF($A127="","",COUNTIFS(Log!$A$2:$A$5000,$A127,Log!$F$2:$F$5000,"*→ "&amp;M$1&amp;"*"))</f>
        <v/>
      </c>
      <c r="N127">
        <f>IF($A127="","",COUNTIFS(Log!$A$2:$A$5000,$A127,Log!$F$2:$F$5000,"*→ "&amp;N$1&amp;"*"))</f>
        <v/>
      </c>
      <c r="O127">
        <f>IF($A127="","",COUNTIFS(Log!$A$2:$A$5000,$A127,Log!$F$2:$F$5000,"*→ "&amp;O$1&amp;"*"))</f>
        <v/>
      </c>
      <c r="P127">
        <f>IF($A127="","",COUNTIFS(Log!$A$2:$A$5000,$A127,Log!$F$2:$F$5000,"*→ "&amp;P$1&amp;"*"))</f>
        <v/>
      </c>
      <c r="Q127">
        <f>IF($A127="","",COUNTIFS(Log!$A$2:$A$5000,$A127,Log!$F$2:$F$5000,"*→ "&amp;Q$1&amp;"*"))</f>
        <v/>
      </c>
      <c r="R127">
        <f>IF($A127="","",COUNTIFS(Log!$A$2:$A$5000,$A127,Log!$F$2:$F$5000,"*→ "&amp;R$1&amp;"*"))</f>
        <v/>
      </c>
    </row>
    <row r="128">
      <c r="A128">
        <f>IF(Students!A128="","",Students!A128)</f>
        <v/>
      </c>
      <c r="B128">
        <f>IF($A128="","",COUNTIFS(Log!$A$2:$A$5000,$A128,Log!$F$2:$F$5000,"*→ "&amp;B$1&amp;"*"))</f>
        <v/>
      </c>
      <c r="C128">
        <f>IF($A128="","",COUNTIFS(Log!$A$2:$A$5000,$A128,Log!$F$2:$F$5000,"*→ "&amp;C$1&amp;"*"))</f>
        <v/>
      </c>
      <c r="D128">
        <f>IF($A128="","",COUNTIFS(Log!$A$2:$A$5000,$A128,Log!$F$2:$F$5000,"*→ "&amp;D$1&amp;"*"))</f>
        <v/>
      </c>
      <c r="E128">
        <f>IF($A128="","",COUNTIFS(Log!$A$2:$A$5000,$A128,Log!$F$2:$F$5000,"*→ "&amp;E$1&amp;"*"))</f>
        <v/>
      </c>
      <c r="F128">
        <f>IF($A128="","",COUNTIFS(Log!$A$2:$A$5000,$A128,Log!$F$2:$F$5000,"*→ "&amp;F$1&amp;"*"))</f>
        <v/>
      </c>
      <c r="G128">
        <f>IF($A128="","",COUNTIFS(Log!$A$2:$A$5000,$A128,Log!$F$2:$F$5000,"*→ "&amp;G$1&amp;"*"))</f>
        <v/>
      </c>
      <c r="H128">
        <f>IF($A128="","",COUNTIFS(Log!$A$2:$A$5000,$A128,Log!$F$2:$F$5000,"*→ "&amp;H$1&amp;"*"))</f>
        <v/>
      </c>
      <c r="I128">
        <f>IF($A128="","",COUNTIFS(Log!$A$2:$A$5000,$A128,Log!$F$2:$F$5000,"*→ "&amp;I$1&amp;"*"))</f>
        <v/>
      </c>
      <c r="J128">
        <f>IF($A128="","",COUNTIFS(Log!$A$2:$A$5000,$A128,Log!$F$2:$F$5000,"*→ "&amp;J$1&amp;"*"))</f>
        <v/>
      </c>
      <c r="K128">
        <f>IF($A128="","",COUNTIFS(Log!$A$2:$A$5000,$A128,Log!$F$2:$F$5000,"*→ "&amp;K$1&amp;"*"))</f>
        <v/>
      </c>
      <c r="L128">
        <f>IF($A128="","",COUNTIFS(Log!$A$2:$A$5000,$A128,Log!$F$2:$F$5000,"*→ "&amp;L$1&amp;"*"))</f>
        <v/>
      </c>
      <c r="M128">
        <f>IF($A128="","",COUNTIFS(Log!$A$2:$A$5000,$A128,Log!$F$2:$F$5000,"*→ "&amp;M$1&amp;"*"))</f>
        <v/>
      </c>
      <c r="N128">
        <f>IF($A128="","",COUNTIFS(Log!$A$2:$A$5000,$A128,Log!$F$2:$F$5000,"*→ "&amp;N$1&amp;"*"))</f>
        <v/>
      </c>
      <c r="O128">
        <f>IF($A128="","",COUNTIFS(Log!$A$2:$A$5000,$A128,Log!$F$2:$F$5000,"*→ "&amp;O$1&amp;"*"))</f>
        <v/>
      </c>
      <c r="P128">
        <f>IF($A128="","",COUNTIFS(Log!$A$2:$A$5000,$A128,Log!$F$2:$F$5000,"*→ "&amp;P$1&amp;"*"))</f>
        <v/>
      </c>
      <c r="Q128">
        <f>IF($A128="","",COUNTIFS(Log!$A$2:$A$5000,$A128,Log!$F$2:$F$5000,"*→ "&amp;Q$1&amp;"*"))</f>
        <v/>
      </c>
      <c r="R128">
        <f>IF($A128="","",COUNTIFS(Log!$A$2:$A$5000,$A128,Log!$F$2:$F$5000,"*→ "&amp;R$1&amp;"*"))</f>
        <v/>
      </c>
    </row>
    <row r="129">
      <c r="A129">
        <f>IF(Students!A129="","",Students!A129)</f>
        <v/>
      </c>
      <c r="B129">
        <f>IF($A129="","",COUNTIFS(Log!$A$2:$A$5000,$A129,Log!$F$2:$F$5000,"*→ "&amp;B$1&amp;"*"))</f>
        <v/>
      </c>
      <c r="C129">
        <f>IF($A129="","",COUNTIFS(Log!$A$2:$A$5000,$A129,Log!$F$2:$F$5000,"*→ "&amp;C$1&amp;"*"))</f>
        <v/>
      </c>
      <c r="D129">
        <f>IF($A129="","",COUNTIFS(Log!$A$2:$A$5000,$A129,Log!$F$2:$F$5000,"*→ "&amp;D$1&amp;"*"))</f>
        <v/>
      </c>
      <c r="E129">
        <f>IF($A129="","",COUNTIFS(Log!$A$2:$A$5000,$A129,Log!$F$2:$F$5000,"*→ "&amp;E$1&amp;"*"))</f>
        <v/>
      </c>
      <c r="F129">
        <f>IF($A129="","",COUNTIFS(Log!$A$2:$A$5000,$A129,Log!$F$2:$F$5000,"*→ "&amp;F$1&amp;"*"))</f>
        <v/>
      </c>
      <c r="G129">
        <f>IF($A129="","",COUNTIFS(Log!$A$2:$A$5000,$A129,Log!$F$2:$F$5000,"*→ "&amp;G$1&amp;"*"))</f>
        <v/>
      </c>
      <c r="H129">
        <f>IF($A129="","",COUNTIFS(Log!$A$2:$A$5000,$A129,Log!$F$2:$F$5000,"*→ "&amp;H$1&amp;"*"))</f>
        <v/>
      </c>
      <c r="I129">
        <f>IF($A129="","",COUNTIFS(Log!$A$2:$A$5000,$A129,Log!$F$2:$F$5000,"*→ "&amp;I$1&amp;"*"))</f>
        <v/>
      </c>
      <c r="J129">
        <f>IF($A129="","",COUNTIFS(Log!$A$2:$A$5000,$A129,Log!$F$2:$F$5000,"*→ "&amp;J$1&amp;"*"))</f>
        <v/>
      </c>
      <c r="K129">
        <f>IF($A129="","",COUNTIFS(Log!$A$2:$A$5000,$A129,Log!$F$2:$F$5000,"*→ "&amp;K$1&amp;"*"))</f>
        <v/>
      </c>
      <c r="L129">
        <f>IF($A129="","",COUNTIFS(Log!$A$2:$A$5000,$A129,Log!$F$2:$F$5000,"*→ "&amp;L$1&amp;"*"))</f>
        <v/>
      </c>
      <c r="M129">
        <f>IF($A129="","",COUNTIFS(Log!$A$2:$A$5000,$A129,Log!$F$2:$F$5000,"*→ "&amp;M$1&amp;"*"))</f>
        <v/>
      </c>
      <c r="N129">
        <f>IF($A129="","",COUNTIFS(Log!$A$2:$A$5000,$A129,Log!$F$2:$F$5000,"*→ "&amp;N$1&amp;"*"))</f>
        <v/>
      </c>
      <c r="O129">
        <f>IF($A129="","",COUNTIFS(Log!$A$2:$A$5000,$A129,Log!$F$2:$F$5000,"*→ "&amp;O$1&amp;"*"))</f>
        <v/>
      </c>
      <c r="P129">
        <f>IF($A129="","",COUNTIFS(Log!$A$2:$A$5000,$A129,Log!$F$2:$F$5000,"*→ "&amp;P$1&amp;"*"))</f>
        <v/>
      </c>
      <c r="Q129">
        <f>IF($A129="","",COUNTIFS(Log!$A$2:$A$5000,$A129,Log!$F$2:$F$5000,"*→ "&amp;Q$1&amp;"*"))</f>
        <v/>
      </c>
      <c r="R129">
        <f>IF($A129="","",COUNTIFS(Log!$A$2:$A$5000,$A129,Log!$F$2:$F$5000,"*→ "&amp;R$1&amp;"*"))</f>
        <v/>
      </c>
    </row>
    <row r="130">
      <c r="A130">
        <f>IF(Students!A130="","",Students!A130)</f>
        <v/>
      </c>
      <c r="B130">
        <f>IF($A130="","",COUNTIFS(Log!$A$2:$A$5000,$A130,Log!$F$2:$F$5000,"*→ "&amp;B$1&amp;"*"))</f>
        <v/>
      </c>
      <c r="C130">
        <f>IF($A130="","",COUNTIFS(Log!$A$2:$A$5000,$A130,Log!$F$2:$F$5000,"*→ "&amp;C$1&amp;"*"))</f>
        <v/>
      </c>
      <c r="D130">
        <f>IF($A130="","",COUNTIFS(Log!$A$2:$A$5000,$A130,Log!$F$2:$F$5000,"*→ "&amp;D$1&amp;"*"))</f>
        <v/>
      </c>
      <c r="E130">
        <f>IF($A130="","",COUNTIFS(Log!$A$2:$A$5000,$A130,Log!$F$2:$F$5000,"*→ "&amp;E$1&amp;"*"))</f>
        <v/>
      </c>
      <c r="F130">
        <f>IF($A130="","",COUNTIFS(Log!$A$2:$A$5000,$A130,Log!$F$2:$F$5000,"*→ "&amp;F$1&amp;"*"))</f>
        <v/>
      </c>
      <c r="G130">
        <f>IF($A130="","",COUNTIFS(Log!$A$2:$A$5000,$A130,Log!$F$2:$F$5000,"*→ "&amp;G$1&amp;"*"))</f>
        <v/>
      </c>
      <c r="H130">
        <f>IF($A130="","",COUNTIFS(Log!$A$2:$A$5000,$A130,Log!$F$2:$F$5000,"*→ "&amp;H$1&amp;"*"))</f>
        <v/>
      </c>
      <c r="I130">
        <f>IF($A130="","",COUNTIFS(Log!$A$2:$A$5000,$A130,Log!$F$2:$F$5000,"*→ "&amp;I$1&amp;"*"))</f>
        <v/>
      </c>
      <c r="J130">
        <f>IF($A130="","",COUNTIFS(Log!$A$2:$A$5000,$A130,Log!$F$2:$F$5000,"*→ "&amp;J$1&amp;"*"))</f>
        <v/>
      </c>
      <c r="K130">
        <f>IF($A130="","",COUNTIFS(Log!$A$2:$A$5000,$A130,Log!$F$2:$F$5000,"*→ "&amp;K$1&amp;"*"))</f>
        <v/>
      </c>
      <c r="L130">
        <f>IF($A130="","",COUNTIFS(Log!$A$2:$A$5000,$A130,Log!$F$2:$F$5000,"*→ "&amp;L$1&amp;"*"))</f>
        <v/>
      </c>
      <c r="M130">
        <f>IF($A130="","",COUNTIFS(Log!$A$2:$A$5000,$A130,Log!$F$2:$F$5000,"*→ "&amp;M$1&amp;"*"))</f>
        <v/>
      </c>
      <c r="N130">
        <f>IF($A130="","",COUNTIFS(Log!$A$2:$A$5000,$A130,Log!$F$2:$F$5000,"*→ "&amp;N$1&amp;"*"))</f>
        <v/>
      </c>
      <c r="O130">
        <f>IF($A130="","",COUNTIFS(Log!$A$2:$A$5000,$A130,Log!$F$2:$F$5000,"*→ "&amp;O$1&amp;"*"))</f>
        <v/>
      </c>
      <c r="P130">
        <f>IF($A130="","",COUNTIFS(Log!$A$2:$A$5000,$A130,Log!$F$2:$F$5000,"*→ "&amp;P$1&amp;"*"))</f>
        <v/>
      </c>
      <c r="Q130">
        <f>IF($A130="","",COUNTIFS(Log!$A$2:$A$5000,$A130,Log!$F$2:$F$5000,"*→ "&amp;Q$1&amp;"*"))</f>
        <v/>
      </c>
      <c r="R130">
        <f>IF($A130="","",COUNTIFS(Log!$A$2:$A$5000,$A130,Log!$F$2:$F$5000,"*→ "&amp;R$1&amp;"*"))</f>
        <v/>
      </c>
    </row>
    <row r="131">
      <c r="A131">
        <f>IF(Students!A131="","",Students!A131)</f>
        <v/>
      </c>
      <c r="B131">
        <f>IF($A131="","",COUNTIFS(Log!$A$2:$A$5000,$A131,Log!$F$2:$F$5000,"*→ "&amp;B$1&amp;"*"))</f>
        <v/>
      </c>
      <c r="C131">
        <f>IF($A131="","",COUNTIFS(Log!$A$2:$A$5000,$A131,Log!$F$2:$F$5000,"*→ "&amp;C$1&amp;"*"))</f>
        <v/>
      </c>
      <c r="D131">
        <f>IF($A131="","",COUNTIFS(Log!$A$2:$A$5000,$A131,Log!$F$2:$F$5000,"*→ "&amp;D$1&amp;"*"))</f>
        <v/>
      </c>
      <c r="E131">
        <f>IF($A131="","",COUNTIFS(Log!$A$2:$A$5000,$A131,Log!$F$2:$F$5000,"*→ "&amp;E$1&amp;"*"))</f>
        <v/>
      </c>
      <c r="F131">
        <f>IF($A131="","",COUNTIFS(Log!$A$2:$A$5000,$A131,Log!$F$2:$F$5000,"*→ "&amp;F$1&amp;"*"))</f>
        <v/>
      </c>
      <c r="G131">
        <f>IF($A131="","",COUNTIFS(Log!$A$2:$A$5000,$A131,Log!$F$2:$F$5000,"*→ "&amp;G$1&amp;"*"))</f>
        <v/>
      </c>
      <c r="H131">
        <f>IF($A131="","",COUNTIFS(Log!$A$2:$A$5000,$A131,Log!$F$2:$F$5000,"*→ "&amp;H$1&amp;"*"))</f>
        <v/>
      </c>
      <c r="I131">
        <f>IF($A131="","",COUNTIFS(Log!$A$2:$A$5000,$A131,Log!$F$2:$F$5000,"*→ "&amp;I$1&amp;"*"))</f>
        <v/>
      </c>
      <c r="J131">
        <f>IF($A131="","",COUNTIFS(Log!$A$2:$A$5000,$A131,Log!$F$2:$F$5000,"*→ "&amp;J$1&amp;"*"))</f>
        <v/>
      </c>
      <c r="K131">
        <f>IF($A131="","",COUNTIFS(Log!$A$2:$A$5000,$A131,Log!$F$2:$F$5000,"*→ "&amp;K$1&amp;"*"))</f>
        <v/>
      </c>
      <c r="L131">
        <f>IF($A131="","",COUNTIFS(Log!$A$2:$A$5000,$A131,Log!$F$2:$F$5000,"*→ "&amp;L$1&amp;"*"))</f>
        <v/>
      </c>
      <c r="M131">
        <f>IF($A131="","",COUNTIFS(Log!$A$2:$A$5000,$A131,Log!$F$2:$F$5000,"*→ "&amp;M$1&amp;"*"))</f>
        <v/>
      </c>
      <c r="N131">
        <f>IF($A131="","",COUNTIFS(Log!$A$2:$A$5000,$A131,Log!$F$2:$F$5000,"*→ "&amp;N$1&amp;"*"))</f>
        <v/>
      </c>
      <c r="O131">
        <f>IF($A131="","",COUNTIFS(Log!$A$2:$A$5000,$A131,Log!$F$2:$F$5000,"*→ "&amp;O$1&amp;"*"))</f>
        <v/>
      </c>
      <c r="P131">
        <f>IF($A131="","",COUNTIFS(Log!$A$2:$A$5000,$A131,Log!$F$2:$F$5000,"*→ "&amp;P$1&amp;"*"))</f>
        <v/>
      </c>
      <c r="Q131">
        <f>IF($A131="","",COUNTIFS(Log!$A$2:$A$5000,$A131,Log!$F$2:$F$5000,"*→ "&amp;Q$1&amp;"*"))</f>
        <v/>
      </c>
      <c r="R131">
        <f>IF($A131="","",COUNTIFS(Log!$A$2:$A$5000,$A131,Log!$F$2:$F$5000,"*→ "&amp;R$1&amp;"*"))</f>
        <v/>
      </c>
    </row>
    <row r="132">
      <c r="A132">
        <f>IF(Students!A132="","",Students!A132)</f>
        <v/>
      </c>
      <c r="B132">
        <f>IF($A132="","",COUNTIFS(Log!$A$2:$A$5000,$A132,Log!$F$2:$F$5000,"*→ "&amp;B$1&amp;"*"))</f>
        <v/>
      </c>
      <c r="C132">
        <f>IF($A132="","",COUNTIFS(Log!$A$2:$A$5000,$A132,Log!$F$2:$F$5000,"*→ "&amp;C$1&amp;"*"))</f>
        <v/>
      </c>
      <c r="D132">
        <f>IF($A132="","",COUNTIFS(Log!$A$2:$A$5000,$A132,Log!$F$2:$F$5000,"*→ "&amp;D$1&amp;"*"))</f>
        <v/>
      </c>
      <c r="E132">
        <f>IF($A132="","",COUNTIFS(Log!$A$2:$A$5000,$A132,Log!$F$2:$F$5000,"*→ "&amp;E$1&amp;"*"))</f>
        <v/>
      </c>
      <c r="F132">
        <f>IF($A132="","",COUNTIFS(Log!$A$2:$A$5000,$A132,Log!$F$2:$F$5000,"*→ "&amp;F$1&amp;"*"))</f>
        <v/>
      </c>
      <c r="G132">
        <f>IF($A132="","",COUNTIFS(Log!$A$2:$A$5000,$A132,Log!$F$2:$F$5000,"*→ "&amp;G$1&amp;"*"))</f>
        <v/>
      </c>
      <c r="H132">
        <f>IF($A132="","",COUNTIFS(Log!$A$2:$A$5000,$A132,Log!$F$2:$F$5000,"*→ "&amp;H$1&amp;"*"))</f>
        <v/>
      </c>
      <c r="I132">
        <f>IF($A132="","",COUNTIFS(Log!$A$2:$A$5000,$A132,Log!$F$2:$F$5000,"*→ "&amp;I$1&amp;"*"))</f>
        <v/>
      </c>
      <c r="J132">
        <f>IF($A132="","",COUNTIFS(Log!$A$2:$A$5000,$A132,Log!$F$2:$F$5000,"*→ "&amp;J$1&amp;"*"))</f>
        <v/>
      </c>
      <c r="K132">
        <f>IF($A132="","",COUNTIFS(Log!$A$2:$A$5000,$A132,Log!$F$2:$F$5000,"*→ "&amp;K$1&amp;"*"))</f>
        <v/>
      </c>
      <c r="L132">
        <f>IF($A132="","",COUNTIFS(Log!$A$2:$A$5000,$A132,Log!$F$2:$F$5000,"*→ "&amp;L$1&amp;"*"))</f>
        <v/>
      </c>
      <c r="M132">
        <f>IF($A132="","",COUNTIFS(Log!$A$2:$A$5000,$A132,Log!$F$2:$F$5000,"*→ "&amp;M$1&amp;"*"))</f>
        <v/>
      </c>
      <c r="N132">
        <f>IF($A132="","",COUNTIFS(Log!$A$2:$A$5000,$A132,Log!$F$2:$F$5000,"*→ "&amp;N$1&amp;"*"))</f>
        <v/>
      </c>
      <c r="O132">
        <f>IF($A132="","",COUNTIFS(Log!$A$2:$A$5000,$A132,Log!$F$2:$F$5000,"*→ "&amp;O$1&amp;"*"))</f>
        <v/>
      </c>
      <c r="P132">
        <f>IF($A132="","",COUNTIFS(Log!$A$2:$A$5000,$A132,Log!$F$2:$F$5000,"*→ "&amp;P$1&amp;"*"))</f>
        <v/>
      </c>
      <c r="Q132">
        <f>IF($A132="","",COUNTIFS(Log!$A$2:$A$5000,$A132,Log!$F$2:$F$5000,"*→ "&amp;Q$1&amp;"*"))</f>
        <v/>
      </c>
      <c r="R132">
        <f>IF($A132="","",COUNTIFS(Log!$A$2:$A$5000,$A132,Log!$F$2:$F$5000,"*→ "&amp;R$1&amp;"*"))</f>
        <v/>
      </c>
    </row>
    <row r="133">
      <c r="A133">
        <f>IF(Students!A133="","",Students!A133)</f>
        <v/>
      </c>
      <c r="B133">
        <f>IF($A133="","",COUNTIFS(Log!$A$2:$A$5000,$A133,Log!$F$2:$F$5000,"*→ "&amp;B$1&amp;"*"))</f>
        <v/>
      </c>
      <c r="C133">
        <f>IF($A133="","",COUNTIFS(Log!$A$2:$A$5000,$A133,Log!$F$2:$F$5000,"*→ "&amp;C$1&amp;"*"))</f>
        <v/>
      </c>
      <c r="D133">
        <f>IF($A133="","",COUNTIFS(Log!$A$2:$A$5000,$A133,Log!$F$2:$F$5000,"*→ "&amp;D$1&amp;"*"))</f>
        <v/>
      </c>
      <c r="E133">
        <f>IF($A133="","",COUNTIFS(Log!$A$2:$A$5000,$A133,Log!$F$2:$F$5000,"*→ "&amp;E$1&amp;"*"))</f>
        <v/>
      </c>
      <c r="F133">
        <f>IF($A133="","",COUNTIFS(Log!$A$2:$A$5000,$A133,Log!$F$2:$F$5000,"*→ "&amp;F$1&amp;"*"))</f>
        <v/>
      </c>
      <c r="G133">
        <f>IF($A133="","",COUNTIFS(Log!$A$2:$A$5000,$A133,Log!$F$2:$F$5000,"*→ "&amp;G$1&amp;"*"))</f>
        <v/>
      </c>
      <c r="H133">
        <f>IF($A133="","",COUNTIFS(Log!$A$2:$A$5000,$A133,Log!$F$2:$F$5000,"*→ "&amp;H$1&amp;"*"))</f>
        <v/>
      </c>
      <c r="I133">
        <f>IF($A133="","",COUNTIFS(Log!$A$2:$A$5000,$A133,Log!$F$2:$F$5000,"*→ "&amp;I$1&amp;"*"))</f>
        <v/>
      </c>
      <c r="J133">
        <f>IF($A133="","",COUNTIFS(Log!$A$2:$A$5000,$A133,Log!$F$2:$F$5000,"*→ "&amp;J$1&amp;"*"))</f>
        <v/>
      </c>
      <c r="K133">
        <f>IF($A133="","",COUNTIFS(Log!$A$2:$A$5000,$A133,Log!$F$2:$F$5000,"*→ "&amp;K$1&amp;"*"))</f>
        <v/>
      </c>
      <c r="L133">
        <f>IF($A133="","",COUNTIFS(Log!$A$2:$A$5000,$A133,Log!$F$2:$F$5000,"*→ "&amp;L$1&amp;"*"))</f>
        <v/>
      </c>
      <c r="M133">
        <f>IF($A133="","",COUNTIFS(Log!$A$2:$A$5000,$A133,Log!$F$2:$F$5000,"*→ "&amp;M$1&amp;"*"))</f>
        <v/>
      </c>
      <c r="N133">
        <f>IF($A133="","",COUNTIFS(Log!$A$2:$A$5000,$A133,Log!$F$2:$F$5000,"*→ "&amp;N$1&amp;"*"))</f>
        <v/>
      </c>
      <c r="O133">
        <f>IF($A133="","",COUNTIFS(Log!$A$2:$A$5000,$A133,Log!$F$2:$F$5000,"*→ "&amp;O$1&amp;"*"))</f>
        <v/>
      </c>
      <c r="P133">
        <f>IF($A133="","",COUNTIFS(Log!$A$2:$A$5000,$A133,Log!$F$2:$F$5000,"*→ "&amp;P$1&amp;"*"))</f>
        <v/>
      </c>
      <c r="Q133">
        <f>IF($A133="","",COUNTIFS(Log!$A$2:$A$5000,$A133,Log!$F$2:$F$5000,"*→ "&amp;Q$1&amp;"*"))</f>
        <v/>
      </c>
      <c r="R133">
        <f>IF($A133="","",COUNTIFS(Log!$A$2:$A$5000,$A133,Log!$F$2:$F$5000,"*→ "&amp;R$1&amp;"*"))</f>
        <v/>
      </c>
    </row>
    <row r="134">
      <c r="A134">
        <f>IF(Students!A134="","",Students!A134)</f>
        <v/>
      </c>
      <c r="B134">
        <f>IF($A134="","",COUNTIFS(Log!$A$2:$A$5000,$A134,Log!$F$2:$F$5000,"*→ "&amp;B$1&amp;"*"))</f>
        <v/>
      </c>
      <c r="C134">
        <f>IF($A134="","",COUNTIFS(Log!$A$2:$A$5000,$A134,Log!$F$2:$F$5000,"*→ "&amp;C$1&amp;"*"))</f>
        <v/>
      </c>
      <c r="D134">
        <f>IF($A134="","",COUNTIFS(Log!$A$2:$A$5000,$A134,Log!$F$2:$F$5000,"*→ "&amp;D$1&amp;"*"))</f>
        <v/>
      </c>
      <c r="E134">
        <f>IF($A134="","",COUNTIFS(Log!$A$2:$A$5000,$A134,Log!$F$2:$F$5000,"*→ "&amp;E$1&amp;"*"))</f>
        <v/>
      </c>
      <c r="F134">
        <f>IF($A134="","",COUNTIFS(Log!$A$2:$A$5000,$A134,Log!$F$2:$F$5000,"*→ "&amp;F$1&amp;"*"))</f>
        <v/>
      </c>
      <c r="G134">
        <f>IF($A134="","",COUNTIFS(Log!$A$2:$A$5000,$A134,Log!$F$2:$F$5000,"*→ "&amp;G$1&amp;"*"))</f>
        <v/>
      </c>
      <c r="H134">
        <f>IF($A134="","",COUNTIFS(Log!$A$2:$A$5000,$A134,Log!$F$2:$F$5000,"*→ "&amp;H$1&amp;"*"))</f>
        <v/>
      </c>
      <c r="I134">
        <f>IF($A134="","",COUNTIFS(Log!$A$2:$A$5000,$A134,Log!$F$2:$F$5000,"*→ "&amp;I$1&amp;"*"))</f>
        <v/>
      </c>
      <c r="J134">
        <f>IF($A134="","",COUNTIFS(Log!$A$2:$A$5000,$A134,Log!$F$2:$F$5000,"*→ "&amp;J$1&amp;"*"))</f>
        <v/>
      </c>
      <c r="K134">
        <f>IF($A134="","",COUNTIFS(Log!$A$2:$A$5000,$A134,Log!$F$2:$F$5000,"*→ "&amp;K$1&amp;"*"))</f>
        <v/>
      </c>
      <c r="L134">
        <f>IF($A134="","",COUNTIFS(Log!$A$2:$A$5000,$A134,Log!$F$2:$F$5000,"*→ "&amp;L$1&amp;"*"))</f>
        <v/>
      </c>
      <c r="M134">
        <f>IF($A134="","",COUNTIFS(Log!$A$2:$A$5000,$A134,Log!$F$2:$F$5000,"*→ "&amp;M$1&amp;"*"))</f>
        <v/>
      </c>
      <c r="N134">
        <f>IF($A134="","",COUNTIFS(Log!$A$2:$A$5000,$A134,Log!$F$2:$F$5000,"*→ "&amp;N$1&amp;"*"))</f>
        <v/>
      </c>
      <c r="O134">
        <f>IF($A134="","",COUNTIFS(Log!$A$2:$A$5000,$A134,Log!$F$2:$F$5000,"*→ "&amp;O$1&amp;"*"))</f>
        <v/>
      </c>
      <c r="P134">
        <f>IF($A134="","",COUNTIFS(Log!$A$2:$A$5000,$A134,Log!$F$2:$F$5000,"*→ "&amp;P$1&amp;"*"))</f>
        <v/>
      </c>
      <c r="Q134">
        <f>IF($A134="","",COUNTIFS(Log!$A$2:$A$5000,$A134,Log!$F$2:$F$5000,"*→ "&amp;Q$1&amp;"*"))</f>
        <v/>
      </c>
      <c r="R134">
        <f>IF($A134="","",COUNTIFS(Log!$A$2:$A$5000,$A134,Log!$F$2:$F$5000,"*→ "&amp;R$1&amp;"*"))</f>
        <v/>
      </c>
    </row>
    <row r="135">
      <c r="A135">
        <f>IF(Students!A135="","",Students!A135)</f>
        <v/>
      </c>
      <c r="B135">
        <f>IF($A135="","",COUNTIFS(Log!$A$2:$A$5000,$A135,Log!$F$2:$F$5000,"*→ "&amp;B$1&amp;"*"))</f>
        <v/>
      </c>
      <c r="C135">
        <f>IF($A135="","",COUNTIFS(Log!$A$2:$A$5000,$A135,Log!$F$2:$F$5000,"*→ "&amp;C$1&amp;"*"))</f>
        <v/>
      </c>
      <c r="D135">
        <f>IF($A135="","",COUNTIFS(Log!$A$2:$A$5000,$A135,Log!$F$2:$F$5000,"*→ "&amp;D$1&amp;"*"))</f>
        <v/>
      </c>
      <c r="E135">
        <f>IF($A135="","",COUNTIFS(Log!$A$2:$A$5000,$A135,Log!$F$2:$F$5000,"*→ "&amp;E$1&amp;"*"))</f>
        <v/>
      </c>
      <c r="F135">
        <f>IF($A135="","",COUNTIFS(Log!$A$2:$A$5000,$A135,Log!$F$2:$F$5000,"*→ "&amp;F$1&amp;"*"))</f>
        <v/>
      </c>
      <c r="G135">
        <f>IF($A135="","",COUNTIFS(Log!$A$2:$A$5000,$A135,Log!$F$2:$F$5000,"*→ "&amp;G$1&amp;"*"))</f>
        <v/>
      </c>
      <c r="H135">
        <f>IF($A135="","",COUNTIFS(Log!$A$2:$A$5000,$A135,Log!$F$2:$F$5000,"*→ "&amp;H$1&amp;"*"))</f>
        <v/>
      </c>
      <c r="I135">
        <f>IF($A135="","",COUNTIFS(Log!$A$2:$A$5000,$A135,Log!$F$2:$F$5000,"*→ "&amp;I$1&amp;"*"))</f>
        <v/>
      </c>
      <c r="J135">
        <f>IF($A135="","",COUNTIFS(Log!$A$2:$A$5000,$A135,Log!$F$2:$F$5000,"*→ "&amp;J$1&amp;"*"))</f>
        <v/>
      </c>
      <c r="K135">
        <f>IF($A135="","",COUNTIFS(Log!$A$2:$A$5000,$A135,Log!$F$2:$F$5000,"*→ "&amp;K$1&amp;"*"))</f>
        <v/>
      </c>
      <c r="L135">
        <f>IF($A135="","",COUNTIFS(Log!$A$2:$A$5000,$A135,Log!$F$2:$F$5000,"*→ "&amp;L$1&amp;"*"))</f>
        <v/>
      </c>
      <c r="M135">
        <f>IF($A135="","",COUNTIFS(Log!$A$2:$A$5000,$A135,Log!$F$2:$F$5000,"*→ "&amp;M$1&amp;"*"))</f>
        <v/>
      </c>
      <c r="N135">
        <f>IF($A135="","",COUNTIFS(Log!$A$2:$A$5000,$A135,Log!$F$2:$F$5000,"*→ "&amp;N$1&amp;"*"))</f>
        <v/>
      </c>
      <c r="O135">
        <f>IF($A135="","",COUNTIFS(Log!$A$2:$A$5000,$A135,Log!$F$2:$F$5000,"*→ "&amp;O$1&amp;"*"))</f>
        <v/>
      </c>
      <c r="P135">
        <f>IF($A135="","",COUNTIFS(Log!$A$2:$A$5000,$A135,Log!$F$2:$F$5000,"*→ "&amp;P$1&amp;"*"))</f>
        <v/>
      </c>
      <c r="Q135">
        <f>IF($A135="","",COUNTIFS(Log!$A$2:$A$5000,$A135,Log!$F$2:$F$5000,"*→ "&amp;Q$1&amp;"*"))</f>
        <v/>
      </c>
      <c r="R135">
        <f>IF($A135="","",COUNTIFS(Log!$A$2:$A$5000,$A135,Log!$F$2:$F$5000,"*→ "&amp;R$1&amp;"*"))</f>
        <v/>
      </c>
    </row>
    <row r="136">
      <c r="A136">
        <f>IF(Students!A136="","",Students!A136)</f>
        <v/>
      </c>
      <c r="B136">
        <f>IF($A136="","",COUNTIFS(Log!$A$2:$A$5000,$A136,Log!$F$2:$F$5000,"*→ "&amp;B$1&amp;"*"))</f>
        <v/>
      </c>
      <c r="C136">
        <f>IF($A136="","",COUNTIFS(Log!$A$2:$A$5000,$A136,Log!$F$2:$F$5000,"*→ "&amp;C$1&amp;"*"))</f>
        <v/>
      </c>
      <c r="D136">
        <f>IF($A136="","",COUNTIFS(Log!$A$2:$A$5000,$A136,Log!$F$2:$F$5000,"*→ "&amp;D$1&amp;"*"))</f>
        <v/>
      </c>
      <c r="E136">
        <f>IF($A136="","",COUNTIFS(Log!$A$2:$A$5000,$A136,Log!$F$2:$F$5000,"*→ "&amp;E$1&amp;"*"))</f>
        <v/>
      </c>
      <c r="F136">
        <f>IF($A136="","",COUNTIFS(Log!$A$2:$A$5000,$A136,Log!$F$2:$F$5000,"*→ "&amp;F$1&amp;"*"))</f>
        <v/>
      </c>
      <c r="G136">
        <f>IF($A136="","",COUNTIFS(Log!$A$2:$A$5000,$A136,Log!$F$2:$F$5000,"*→ "&amp;G$1&amp;"*"))</f>
        <v/>
      </c>
      <c r="H136">
        <f>IF($A136="","",COUNTIFS(Log!$A$2:$A$5000,$A136,Log!$F$2:$F$5000,"*→ "&amp;H$1&amp;"*"))</f>
        <v/>
      </c>
      <c r="I136">
        <f>IF($A136="","",COUNTIFS(Log!$A$2:$A$5000,$A136,Log!$F$2:$F$5000,"*→ "&amp;I$1&amp;"*"))</f>
        <v/>
      </c>
      <c r="J136">
        <f>IF($A136="","",COUNTIFS(Log!$A$2:$A$5000,$A136,Log!$F$2:$F$5000,"*→ "&amp;J$1&amp;"*"))</f>
        <v/>
      </c>
      <c r="K136">
        <f>IF($A136="","",COUNTIFS(Log!$A$2:$A$5000,$A136,Log!$F$2:$F$5000,"*→ "&amp;K$1&amp;"*"))</f>
        <v/>
      </c>
      <c r="L136">
        <f>IF($A136="","",COUNTIFS(Log!$A$2:$A$5000,$A136,Log!$F$2:$F$5000,"*→ "&amp;L$1&amp;"*"))</f>
        <v/>
      </c>
      <c r="M136">
        <f>IF($A136="","",COUNTIFS(Log!$A$2:$A$5000,$A136,Log!$F$2:$F$5000,"*→ "&amp;M$1&amp;"*"))</f>
        <v/>
      </c>
      <c r="N136">
        <f>IF($A136="","",COUNTIFS(Log!$A$2:$A$5000,$A136,Log!$F$2:$F$5000,"*→ "&amp;N$1&amp;"*"))</f>
        <v/>
      </c>
      <c r="O136">
        <f>IF($A136="","",COUNTIFS(Log!$A$2:$A$5000,$A136,Log!$F$2:$F$5000,"*→ "&amp;O$1&amp;"*"))</f>
        <v/>
      </c>
      <c r="P136">
        <f>IF($A136="","",COUNTIFS(Log!$A$2:$A$5000,$A136,Log!$F$2:$F$5000,"*→ "&amp;P$1&amp;"*"))</f>
        <v/>
      </c>
      <c r="Q136">
        <f>IF($A136="","",COUNTIFS(Log!$A$2:$A$5000,$A136,Log!$F$2:$F$5000,"*→ "&amp;Q$1&amp;"*"))</f>
        <v/>
      </c>
      <c r="R136">
        <f>IF($A136="","",COUNTIFS(Log!$A$2:$A$5000,$A136,Log!$F$2:$F$5000,"*→ "&amp;R$1&amp;"*"))</f>
        <v/>
      </c>
    </row>
    <row r="137">
      <c r="A137">
        <f>IF(Students!A137="","",Students!A137)</f>
        <v/>
      </c>
      <c r="B137">
        <f>IF($A137="","",COUNTIFS(Log!$A$2:$A$5000,$A137,Log!$F$2:$F$5000,"*→ "&amp;B$1&amp;"*"))</f>
        <v/>
      </c>
      <c r="C137">
        <f>IF($A137="","",COUNTIFS(Log!$A$2:$A$5000,$A137,Log!$F$2:$F$5000,"*→ "&amp;C$1&amp;"*"))</f>
        <v/>
      </c>
      <c r="D137">
        <f>IF($A137="","",COUNTIFS(Log!$A$2:$A$5000,$A137,Log!$F$2:$F$5000,"*→ "&amp;D$1&amp;"*"))</f>
        <v/>
      </c>
      <c r="E137">
        <f>IF($A137="","",COUNTIFS(Log!$A$2:$A$5000,$A137,Log!$F$2:$F$5000,"*→ "&amp;E$1&amp;"*"))</f>
        <v/>
      </c>
      <c r="F137">
        <f>IF($A137="","",COUNTIFS(Log!$A$2:$A$5000,$A137,Log!$F$2:$F$5000,"*→ "&amp;F$1&amp;"*"))</f>
        <v/>
      </c>
      <c r="G137">
        <f>IF($A137="","",COUNTIFS(Log!$A$2:$A$5000,$A137,Log!$F$2:$F$5000,"*→ "&amp;G$1&amp;"*"))</f>
        <v/>
      </c>
      <c r="H137">
        <f>IF($A137="","",COUNTIFS(Log!$A$2:$A$5000,$A137,Log!$F$2:$F$5000,"*→ "&amp;H$1&amp;"*"))</f>
        <v/>
      </c>
      <c r="I137">
        <f>IF($A137="","",COUNTIFS(Log!$A$2:$A$5000,$A137,Log!$F$2:$F$5000,"*→ "&amp;I$1&amp;"*"))</f>
        <v/>
      </c>
      <c r="J137">
        <f>IF($A137="","",COUNTIFS(Log!$A$2:$A$5000,$A137,Log!$F$2:$F$5000,"*→ "&amp;J$1&amp;"*"))</f>
        <v/>
      </c>
      <c r="K137">
        <f>IF($A137="","",COUNTIFS(Log!$A$2:$A$5000,$A137,Log!$F$2:$F$5000,"*→ "&amp;K$1&amp;"*"))</f>
        <v/>
      </c>
      <c r="L137">
        <f>IF($A137="","",COUNTIFS(Log!$A$2:$A$5000,$A137,Log!$F$2:$F$5000,"*→ "&amp;L$1&amp;"*"))</f>
        <v/>
      </c>
      <c r="M137">
        <f>IF($A137="","",COUNTIFS(Log!$A$2:$A$5000,$A137,Log!$F$2:$F$5000,"*→ "&amp;M$1&amp;"*"))</f>
        <v/>
      </c>
      <c r="N137">
        <f>IF($A137="","",COUNTIFS(Log!$A$2:$A$5000,$A137,Log!$F$2:$F$5000,"*→ "&amp;N$1&amp;"*"))</f>
        <v/>
      </c>
      <c r="O137">
        <f>IF($A137="","",COUNTIFS(Log!$A$2:$A$5000,$A137,Log!$F$2:$F$5000,"*→ "&amp;O$1&amp;"*"))</f>
        <v/>
      </c>
      <c r="P137">
        <f>IF($A137="","",COUNTIFS(Log!$A$2:$A$5000,$A137,Log!$F$2:$F$5000,"*→ "&amp;P$1&amp;"*"))</f>
        <v/>
      </c>
      <c r="Q137">
        <f>IF($A137="","",COUNTIFS(Log!$A$2:$A$5000,$A137,Log!$F$2:$F$5000,"*→ "&amp;Q$1&amp;"*"))</f>
        <v/>
      </c>
      <c r="R137">
        <f>IF($A137="","",COUNTIFS(Log!$A$2:$A$5000,$A137,Log!$F$2:$F$5000,"*→ "&amp;R$1&amp;"*"))</f>
        <v/>
      </c>
    </row>
    <row r="138">
      <c r="A138">
        <f>IF(Students!A138="","",Students!A138)</f>
        <v/>
      </c>
      <c r="B138">
        <f>IF($A138="","",COUNTIFS(Log!$A$2:$A$5000,$A138,Log!$F$2:$F$5000,"*→ "&amp;B$1&amp;"*"))</f>
        <v/>
      </c>
      <c r="C138">
        <f>IF($A138="","",COUNTIFS(Log!$A$2:$A$5000,$A138,Log!$F$2:$F$5000,"*→ "&amp;C$1&amp;"*"))</f>
        <v/>
      </c>
      <c r="D138">
        <f>IF($A138="","",COUNTIFS(Log!$A$2:$A$5000,$A138,Log!$F$2:$F$5000,"*→ "&amp;D$1&amp;"*"))</f>
        <v/>
      </c>
      <c r="E138">
        <f>IF($A138="","",COUNTIFS(Log!$A$2:$A$5000,$A138,Log!$F$2:$F$5000,"*→ "&amp;E$1&amp;"*"))</f>
        <v/>
      </c>
      <c r="F138">
        <f>IF($A138="","",COUNTIFS(Log!$A$2:$A$5000,$A138,Log!$F$2:$F$5000,"*→ "&amp;F$1&amp;"*"))</f>
        <v/>
      </c>
      <c r="G138">
        <f>IF($A138="","",COUNTIFS(Log!$A$2:$A$5000,$A138,Log!$F$2:$F$5000,"*→ "&amp;G$1&amp;"*"))</f>
        <v/>
      </c>
      <c r="H138">
        <f>IF($A138="","",COUNTIFS(Log!$A$2:$A$5000,$A138,Log!$F$2:$F$5000,"*→ "&amp;H$1&amp;"*"))</f>
        <v/>
      </c>
      <c r="I138">
        <f>IF($A138="","",COUNTIFS(Log!$A$2:$A$5000,$A138,Log!$F$2:$F$5000,"*→ "&amp;I$1&amp;"*"))</f>
        <v/>
      </c>
      <c r="J138">
        <f>IF($A138="","",COUNTIFS(Log!$A$2:$A$5000,$A138,Log!$F$2:$F$5000,"*→ "&amp;J$1&amp;"*"))</f>
        <v/>
      </c>
      <c r="K138">
        <f>IF($A138="","",COUNTIFS(Log!$A$2:$A$5000,$A138,Log!$F$2:$F$5000,"*→ "&amp;K$1&amp;"*"))</f>
        <v/>
      </c>
      <c r="L138">
        <f>IF($A138="","",COUNTIFS(Log!$A$2:$A$5000,$A138,Log!$F$2:$F$5000,"*→ "&amp;L$1&amp;"*"))</f>
        <v/>
      </c>
      <c r="M138">
        <f>IF($A138="","",COUNTIFS(Log!$A$2:$A$5000,$A138,Log!$F$2:$F$5000,"*→ "&amp;M$1&amp;"*"))</f>
        <v/>
      </c>
      <c r="N138">
        <f>IF($A138="","",COUNTIFS(Log!$A$2:$A$5000,$A138,Log!$F$2:$F$5000,"*→ "&amp;N$1&amp;"*"))</f>
        <v/>
      </c>
      <c r="O138">
        <f>IF($A138="","",COUNTIFS(Log!$A$2:$A$5000,$A138,Log!$F$2:$F$5000,"*→ "&amp;O$1&amp;"*"))</f>
        <v/>
      </c>
      <c r="P138">
        <f>IF($A138="","",COUNTIFS(Log!$A$2:$A$5000,$A138,Log!$F$2:$F$5000,"*→ "&amp;P$1&amp;"*"))</f>
        <v/>
      </c>
      <c r="Q138">
        <f>IF($A138="","",COUNTIFS(Log!$A$2:$A$5000,$A138,Log!$F$2:$F$5000,"*→ "&amp;Q$1&amp;"*"))</f>
        <v/>
      </c>
      <c r="R138">
        <f>IF($A138="","",COUNTIFS(Log!$A$2:$A$5000,$A138,Log!$F$2:$F$5000,"*→ "&amp;R$1&amp;"*"))</f>
        <v/>
      </c>
    </row>
    <row r="139">
      <c r="A139">
        <f>IF(Students!A139="","",Students!A139)</f>
        <v/>
      </c>
      <c r="B139">
        <f>IF($A139="","",COUNTIFS(Log!$A$2:$A$5000,$A139,Log!$F$2:$F$5000,"*→ "&amp;B$1&amp;"*"))</f>
        <v/>
      </c>
      <c r="C139">
        <f>IF($A139="","",COUNTIFS(Log!$A$2:$A$5000,$A139,Log!$F$2:$F$5000,"*→ "&amp;C$1&amp;"*"))</f>
        <v/>
      </c>
      <c r="D139">
        <f>IF($A139="","",COUNTIFS(Log!$A$2:$A$5000,$A139,Log!$F$2:$F$5000,"*→ "&amp;D$1&amp;"*"))</f>
        <v/>
      </c>
      <c r="E139">
        <f>IF($A139="","",COUNTIFS(Log!$A$2:$A$5000,$A139,Log!$F$2:$F$5000,"*→ "&amp;E$1&amp;"*"))</f>
        <v/>
      </c>
      <c r="F139">
        <f>IF($A139="","",COUNTIFS(Log!$A$2:$A$5000,$A139,Log!$F$2:$F$5000,"*→ "&amp;F$1&amp;"*"))</f>
        <v/>
      </c>
      <c r="G139">
        <f>IF($A139="","",COUNTIFS(Log!$A$2:$A$5000,$A139,Log!$F$2:$F$5000,"*→ "&amp;G$1&amp;"*"))</f>
        <v/>
      </c>
      <c r="H139">
        <f>IF($A139="","",COUNTIFS(Log!$A$2:$A$5000,$A139,Log!$F$2:$F$5000,"*→ "&amp;H$1&amp;"*"))</f>
        <v/>
      </c>
      <c r="I139">
        <f>IF($A139="","",COUNTIFS(Log!$A$2:$A$5000,$A139,Log!$F$2:$F$5000,"*→ "&amp;I$1&amp;"*"))</f>
        <v/>
      </c>
      <c r="J139">
        <f>IF($A139="","",COUNTIFS(Log!$A$2:$A$5000,$A139,Log!$F$2:$F$5000,"*→ "&amp;J$1&amp;"*"))</f>
        <v/>
      </c>
      <c r="K139">
        <f>IF($A139="","",COUNTIFS(Log!$A$2:$A$5000,$A139,Log!$F$2:$F$5000,"*→ "&amp;K$1&amp;"*"))</f>
        <v/>
      </c>
      <c r="L139">
        <f>IF($A139="","",COUNTIFS(Log!$A$2:$A$5000,$A139,Log!$F$2:$F$5000,"*→ "&amp;L$1&amp;"*"))</f>
        <v/>
      </c>
      <c r="M139">
        <f>IF($A139="","",COUNTIFS(Log!$A$2:$A$5000,$A139,Log!$F$2:$F$5000,"*→ "&amp;M$1&amp;"*"))</f>
        <v/>
      </c>
      <c r="N139">
        <f>IF($A139="","",COUNTIFS(Log!$A$2:$A$5000,$A139,Log!$F$2:$F$5000,"*→ "&amp;N$1&amp;"*"))</f>
        <v/>
      </c>
      <c r="O139">
        <f>IF($A139="","",COUNTIFS(Log!$A$2:$A$5000,$A139,Log!$F$2:$F$5000,"*→ "&amp;O$1&amp;"*"))</f>
        <v/>
      </c>
      <c r="P139">
        <f>IF($A139="","",COUNTIFS(Log!$A$2:$A$5000,$A139,Log!$F$2:$F$5000,"*→ "&amp;P$1&amp;"*"))</f>
        <v/>
      </c>
      <c r="Q139">
        <f>IF($A139="","",COUNTIFS(Log!$A$2:$A$5000,$A139,Log!$F$2:$F$5000,"*→ "&amp;Q$1&amp;"*"))</f>
        <v/>
      </c>
      <c r="R139">
        <f>IF($A139="","",COUNTIFS(Log!$A$2:$A$5000,$A139,Log!$F$2:$F$5000,"*→ "&amp;R$1&amp;"*"))</f>
        <v/>
      </c>
    </row>
    <row r="140">
      <c r="A140">
        <f>IF(Students!A140="","",Students!A140)</f>
        <v/>
      </c>
      <c r="B140">
        <f>IF($A140="","",COUNTIFS(Log!$A$2:$A$5000,$A140,Log!$F$2:$F$5000,"*→ "&amp;B$1&amp;"*"))</f>
        <v/>
      </c>
      <c r="C140">
        <f>IF($A140="","",COUNTIFS(Log!$A$2:$A$5000,$A140,Log!$F$2:$F$5000,"*→ "&amp;C$1&amp;"*"))</f>
        <v/>
      </c>
      <c r="D140">
        <f>IF($A140="","",COUNTIFS(Log!$A$2:$A$5000,$A140,Log!$F$2:$F$5000,"*→ "&amp;D$1&amp;"*"))</f>
        <v/>
      </c>
      <c r="E140">
        <f>IF($A140="","",COUNTIFS(Log!$A$2:$A$5000,$A140,Log!$F$2:$F$5000,"*→ "&amp;E$1&amp;"*"))</f>
        <v/>
      </c>
      <c r="F140">
        <f>IF($A140="","",COUNTIFS(Log!$A$2:$A$5000,$A140,Log!$F$2:$F$5000,"*→ "&amp;F$1&amp;"*"))</f>
        <v/>
      </c>
      <c r="G140">
        <f>IF($A140="","",COUNTIFS(Log!$A$2:$A$5000,$A140,Log!$F$2:$F$5000,"*→ "&amp;G$1&amp;"*"))</f>
        <v/>
      </c>
      <c r="H140">
        <f>IF($A140="","",COUNTIFS(Log!$A$2:$A$5000,$A140,Log!$F$2:$F$5000,"*→ "&amp;H$1&amp;"*"))</f>
        <v/>
      </c>
      <c r="I140">
        <f>IF($A140="","",COUNTIFS(Log!$A$2:$A$5000,$A140,Log!$F$2:$F$5000,"*→ "&amp;I$1&amp;"*"))</f>
        <v/>
      </c>
      <c r="J140">
        <f>IF($A140="","",COUNTIFS(Log!$A$2:$A$5000,$A140,Log!$F$2:$F$5000,"*→ "&amp;J$1&amp;"*"))</f>
        <v/>
      </c>
      <c r="K140">
        <f>IF($A140="","",COUNTIFS(Log!$A$2:$A$5000,$A140,Log!$F$2:$F$5000,"*→ "&amp;K$1&amp;"*"))</f>
        <v/>
      </c>
      <c r="L140">
        <f>IF($A140="","",COUNTIFS(Log!$A$2:$A$5000,$A140,Log!$F$2:$F$5000,"*→ "&amp;L$1&amp;"*"))</f>
        <v/>
      </c>
      <c r="M140">
        <f>IF($A140="","",COUNTIFS(Log!$A$2:$A$5000,$A140,Log!$F$2:$F$5000,"*→ "&amp;M$1&amp;"*"))</f>
        <v/>
      </c>
      <c r="N140">
        <f>IF($A140="","",COUNTIFS(Log!$A$2:$A$5000,$A140,Log!$F$2:$F$5000,"*→ "&amp;N$1&amp;"*"))</f>
        <v/>
      </c>
      <c r="O140">
        <f>IF($A140="","",COUNTIFS(Log!$A$2:$A$5000,$A140,Log!$F$2:$F$5000,"*→ "&amp;O$1&amp;"*"))</f>
        <v/>
      </c>
      <c r="P140">
        <f>IF($A140="","",COUNTIFS(Log!$A$2:$A$5000,$A140,Log!$F$2:$F$5000,"*→ "&amp;P$1&amp;"*"))</f>
        <v/>
      </c>
      <c r="Q140">
        <f>IF($A140="","",COUNTIFS(Log!$A$2:$A$5000,$A140,Log!$F$2:$F$5000,"*→ "&amp;Q$1&amp;"*"))</f>
        <v/>
      </c>
      <c r="R140">
        <f>IF($A140="","",COUNTIFS(Log!$A$2:$A$5000,$A140,Log!$F$2:$F$5000,"*→ "&amp;R$1&amp;"*"))</f>
        <v/>
      </c>
    </row>
    <row r="141">
      <c r="A141">
        <f>IF(Students!A141="","",Students!A141)</f>
        <v/>
      </c>
      <c r="B141">
        <f>IF($A141="","",COUNTIFS(Log!$A$2:$A$5000,$A141,Log!$F$2:$F$5000,"*→ "&amp;B$1&amp;"*"))</f>
        <v/>
      </c>
      <c r="C141">
        <f>IF($A141="","",COUNTIFS(Log!$A$2:$A$5000,$A141,Log!$F$2:$F$5000,"*→ "&amp;C$1&amp;"*"))</f>
        <v/>
      </c>
      <c r="D141">
        <f>IF($A141="","",COUNTIFS(Log!$A$2:$A$5000,$A141,Log!$F$2:$F$5000,"*→ "&amp;D$1&amp;"*"))</f>
        <v/>
      </c>
      <c r="E141">
        <f>IF($A141="","",COUNTIFS(Log!$A$2:$A$5000,$A141,Log!$F$2:$F$5000,"*→ "&amp;E$1&amp;"*"))</f>
        <v/>
      </c>
      <c r="F141">
        <f>IF($A141="","",COUNTIFS(Log!$A$2:$A$5000,$A141,Log!$F$2:$F$5000,"*→ "&amp;F$1&amp;"*"))</f>
        <v/>
      </c>
      <c r="G141">
        <f>IF($A141="","",COUNTIFS(Log!$A$2:$A$5000,$A141,Log!$F$2:$F$5000,"*→ "&amp;G$1&amp;"*"))</f>
        <v/>
      </c>
      <c r="H141">
        <f>IF($A141="","",COUNTIFS(Log!$A$2:$A$5000,$A141,Log!$F$2:$F$5000,"*→ "&amp;H$1&amp;"*"))</f>
        <v/>
      </c>
      <c r="I141">
        <f>IF($A141="","",COUNTIFS(Log!$A$2:$A$5000,$A141,Log!$F$2:$F$5000,"*→ "&amp;I$1&amp;"*"))</f>
        <v/>
      </c>
      <c r="J141">
        <f>IF($A141="","",COUNTIFS(Log!$A$2:$A$5000,$A141,Log!$F$2:$F$5000,"*→ "&amp;J$1&amp;"*"))</f>
        <v/>
      </c>
      <c r="K141">
        <f>IF($A141="","",COUNTIFS(Log!$A$2:$A$5000,$A141,Log!$F$2:$F$5000,"*→ "&amp;K$1&amp;"*"))</f>
        <v/>
      </c>
      <c r="L141">
        <f>IF($A141="","",COUNTIFS(Log!$A$2:$A$5000,$A141,Log!$F$2:$F$5000,"*→ "&amp;L$1&amp;"*"))</f>
        <v/>
      </c>
      <c r="M141">
        <f>IF($A141="","",COUNTIFS(Log!$A$2:$A$5000,$A141,Log!$F$2:$F$5000,"*→ "&amp;M$1&amp;"*"))</f>
        <v/>
      </c>
      <c r="N141">
        <f>IF($A141="","",COUNTIFS(Log!$A$2:$A$5000,$A141,Log!$F$2:$F$5000,"*→ "&amp;N$1&amp;"*"))</f>
        <v/>
      </c>
      <c r="O141">
        <f>IF($A141="","",COUNTIFS(Log!$A$2:$A$5000,$A141,Log!$F$2:$F$5000,"*→ "&amp;O$1&amp;"*"))</f>
        <v/>
      </c>
      <c r="P141">
        <f>IF($A141="","",COUNTIFS(Log!$A$2:$A$5000,$A141,Log!$F$2:$F$5000,"*→ "&amp;P$1&amp;"*"))</f>
        <v/>
      </c>
      <c r="Q141">
        <f>IF($A141="","",COUNTIFS(Log!$A$2:$A$5000,$A141,Log!$F$2:$F$5000,"*→ "&amp;Q$1&amp;"*"))</f>
        <v/>
      </c>
      <c r="R141">
        <f>IF($A141="","",COUNTIFS(Log!$A$2:$A$5000,$A141,Log!$F$2:$F$5000,"*→ "&amp;R$1&amp;"*"))</f>
        <v/>
      </c>
    </row>
    <row r="142">
      <c r="A142">
        <f>IF(Students!A142="","",Students!A142)</f>
        <v/>
      </c>
      <c r="B142">
        <f>IF($A142="","",COUNTIFS(Log!$A$2:$A$5000,$A142,Log!$F$2:$F$5000,"*→ "&amp;B$1&amp;"*"))</f>
        <v/>
      </c>
      <c r="C142">
        <f>IF($A142="","",COUNTIFS(Log!$A$2:$A$5000,$A142,Log!$F$2:$F$5000,"*→ "&amp;C$1&amp;"*"))</f>
        <v/>
      </c>
      <c r="D142">
        <f>IF($A142="","",COUNTIFS(Log!$A$2:$A$5000,$A142,Log!$F$2:$F$5000,"*→ "&amp;D$1&amp;"*"))</f>
        <v/>
      </c>
      <c r="E142">
        <f>IF($A142="","",COUNTIFS(Log!$A$2:$A$5000,$A142,Log!$F$2:$F$5000,"*→ "&amp;E$1&amp;"*"))</f>
        <v/>
      </c>
      <c r="F142">
        <f>IF($A142="","",COUNTIFS(Log!$A$2:$A$5000,$A142,Log!$F$2:$F$5000,"*→ "&amp;F$1&amp;"*"))</f>
        <v/>
      </c>
      <c r="G142">
        <f>IF($A142="","",COUNTIFS(Log!$A$2:$A$5000,$A142,Log!$F$2:$F$5000,"*→ "&amp;G$1&amp;"*"))</f>
        <v/>
      </c>
      <c r="H142">
        <f>IF($A142="","",COUNTIFS(Log!$A$2:$A$5000,$A142,Log!$F$2:$F$5000,"*→ "&amp;H$1&amp;"*"))</f>
        <v/>
      </c>
      <c r="I142">
        <f>IF($A142="","",COUNTIFS(Log!$A$2:$A$5000,$A142,Log!$F$2:$F$5000,"*→ "&amp;I$1&amp;"*"))</f>
        <v/>
      </c>
      <c r="J142">
        <f>IF($A142="","",COUNTIFS(Log!$A$2:$A$5000,$A142,Log!$F$2:$F$5000,"*→ "&amp;J$1&amp;"*"))</f>
        <v/>
      </c>
      <c r="K142">
        <f>IF($A142="","",COUNTIFS(Log!$A$2:$A$5000,$A142,Log!$F$2:$F$5000,"*→ "&amp;K$1&amp;"*"))</f>
        <v/>
      </c>
      <c r="L142">
        <f>IF($A142="","",COUNTIFS(Log!$A$2:$A$5000,$A142,Log!$F$2:$F$5000,"*→ "&amp;L$1&amp;"*"))</f>
        <v/>
      </c>
      <c r="M142">
        <f>IF($A142="","",COUNTIFS(Log!$A$2:$A$5000,$A142,Log!$F$2:$F$5000,"*→ "&amp;M$1&amp;"*"))</f>
        <v/>
      </c>
      <c r="N142">
        <f>IF($A142="","",COUNTIFS(Log!$A$2:$A$5000,$A142,Log!$F$2:$F$5000,"*→ "&amp;N$1&amp;"*"))</f>
        <v/>
      </c>
      <c r="O142">
        <f>IF($A142="","",COUNTIFS(Log!$A$2:$A$5000,$A142,Log!$F$2:$F$5000,"*→ "&amp;O$1&amp;"*"))</f>
        <v/>
      </c>
      <c r="P142">
        <f>IF($A142="","",COUNTIFS(Log!$A$2:$A$5000,$A142,Log!$F$2:$F$5000,"*→ "&amp;P$1&amp;"*"))</f>
        <v/>
      </c>
      <c r="Q142">
        <f>IF($A142="","",COUNTIFS(Log!$A$2:$A$5000,$A142,Log!$F$2:$F$5000,"*→ "&amp;Q$1&amp;"*"))</f>
        <v/>
      </c>
      <c r="R142">
        <f>IF($A142="","",COUNTIFS(Log!$A$2:$A$5000,$A142,Log!$F$2:$F$5000,"*→ "&amp;R$1&amp;"*"))</f>
        <v/>
      </c>
    </row>
    <row r="143">
      <c r="A143">
        <f>IF(Students!A143="","",Students!A143)</f>
        <v/>
      </c>
      <c r="B143">
        <f>IF($A143="","",COUNTIFS(Log!$A$2:$A$5000,$A143,Log!$F$2:$F$5000,"*→ "&amp;B$1&amp;"*"))</f>
        <v/>
      </c>
      <c r="C143">
        <f>IF($A143="","",COUNTIFS(Log!$A$2:$A$5000,$A143,Log!$F$2:$F$5000,"*→ "&amp;C$1&amp;"*"))</f>
        <v/>
      </c>
      <c r="D143">
        <f>IF($A143="","",COUNTIFS(Log!$A$2:$A$5000,$A143,Log!$F$2:$F$5000,"*→ "&amp;D$1&amp;"*"))</f>
        <v/>
      </c>
      <c r="E143">
        <f>IF($A143="","",COUNTIFS(Log!$A$2:$A$5000,$A143,Log!$F$2:$F$5000,"*→ "&amp;E$1&amp;"*"))</f>
        <v/>
      </c>
      <c r="F143">
        <f>IF($A143="","",COUNTIFS(Log!$A$2:$A$5000,$A143,Log!$F$2:$F$5000,"*→ "&amp;F$1&amp;"*"))</f>
        <v/>
      </c>
      <c r="G143">
        <f>IF($A143="","",COUNTIFS(Log!$A$2:$A$5000,$A143,Log!$F$2:$F$5000,"*→ "&amp;G$1&amp;"*"))</f>
        <v/>
      </c>
      <c r="H143">
        <f>IF($A143="","",COUNTIFS(Log!$A$2:$A$5000,$A143,Log!$F$2:$F$5000,"*→ "&amp;H$1&amp;"*"))</f>
        <v/>
      </c>
      <c r="I143">
        <f>IF($A143="","",COUNTIFS(Log!$A$2:$A$5000,$A143,Log!$F$2:$F$5000,"*→ "&amp;I$1&amp;"*"))</f>
        <v/>
      </c>
      <c r="J143">
        <f>IF($A143="","",COUNTIFS(Log!$A$2:$A$5000,$A143,Log!$F$2:$F$5000,"*→ "&amp;J$1&amp;"*"))</f>
        <v/>
      </c>
      <c r="K143">
        <f>IF($A143="","",COUNTIFS(Log!$A$2:$A$5000,$A143,Log!$F$2:$F$5000,"*→ "&amp;K$1&amp;"*"))</f>
        <v/>
      </c>
      <c r="L143">
        <f>IF($A143="","",COUNTIFS(Log!$A$2:$A$5000,$A143,Log!$F$2:$F$5000,"*→ "&amp;L$1&amp;"*"))</f>
        <v/>
      </c>
      <c r="M143">
        <f>IF($A143="","",COUNTIFS(Log!$A$2:$A$5000,$A143,Log!$F$2:$F$5000,"*→ "&amp;M$1&amp;"*"))</f>
        <v/>
      </c>
      <c r="N143">
        <f>IF($A143="","",COUNTIFS(Log!$A$2:$A$5000,$A143,Log!$F$2:$F$5000,"*→ "&amp;N$1&amp;"*"))</f>
        <v/>
      </c>
      <c r="O143">
        <f>IF($A143="","",COUNTIFS(Log!$A$2:$A$5000,$A143,Log!$F$2:$F$5000,"*→ "&amp;O$1&amp;"*"))</f>
        <v/>
      </c>
      <c r="P143">
        <f>IF($A143="","",COUNTIFS(Log!$A$2:$A$5000,$A143,Log!$F$2:$F$5000,"*→ "&amp;P$1&amp;"*"))</f>
        <v/>
      </c>
      <c r="Q143">
        <f>IF($A143="","",COUNTIFS(Log!$A$2:$A$5000,$A143,Log!$F$2:$F$5000,"*→ "&amp;Q$1&amp;"*"))</f>
        <v/>
      </c>
      <c r="R143">
        <f>IF($A143="","",COUNTIFS(Log!$A$2:$A$5000,$A143,Log!$F$2:$F$5000,"*→ "&amp;R$1&amp;"*"))</f>
        <v/>
      </c>
    </row>
    <row r="144">
      <c r="A144">
        <f>IF(Students!A144="","",Students!A144)</f>
        <v/>
      </c>
      <c r="B144">
        <f>IF($A144="","",COUNTIFS(Log!$A$2:$A$5000,$A144,Log!$F$2:$F$5000,"*→ "&amp;B$1&amp;"*"))</f>
        <v/>
      </c>
      <c r="C144">
        <f>IF($A144="","",COUNTIFS(Log!$A$2:$A$5000,$A144,Log!$F$2:$F$5000,"*→ "&amp;C$1&amp;"*"))</f>
        <v/>
      </c>
      <c r="D144">
        <f>IF($A144="","",COUNTIFS(Log!$A$2:$A$5000,$A144,Log!$F$2:$F$5000,"*→ "&amp;D$1&amp;"*"))</f>
        <v/>
      </c>
      <c r="E144">
        <f>IF($A144="","",COUNTIFS(Log!$A$2:$A$5000,$A144,Log!$F$2:$F$5000,"*→ "&amp;E$1&amp;"*"))</f>
        <v/>
      </c>
      <c r="F144">
        <f>IF($A144="","",COUNTIFS(Log!$A$2:$A$5000,$A144,Log!$F$2:$F$5000,"*→ "&amp;F$1&amp;"*"))</f>
        <v/>
      </c>
      <c r="G144">
        <f>IF($A144="","",COUNTIFS(Log!$A$2:$A$5000,$A144,Log!$F$2:$F$5000,"*→ "&amp;G$1&amp;"*"))</f>
        <v/>
      </c>
      <c r="H144">
        <f>IF($A144="","",COUNTIFS(Log!$A$2:$A$5000,$A144,Log!$F$2:$F$5000,"*→ "&amp;H$1&amp;"*"))</f>
        <v/>
      </c>
      <c r="I144">
        <f>IF($A144="","",COUNTIFS(Log!$A$2:$A$5000,$A144,Log!$F$2:$F$5000,"*→ "&amp;I$1&amp;"*"))</f>
        <v/>
      </c>
      <c r="J144">
        <f>IF($A144="","",COUNTIFS(Log!$A$2:$A$5000,$A144,Log!$F$2:$F$5000,"*→ "&amp;J$1&amp;"*"))</f>
        <v/>
      </c>
      <c r="K144">
        <f>IF($A144="","",COUNTIFS(Log!$A$2:$A$5000,$A144,Log!$F$2:$F$5000,"*→ "&amp;K$1&amp;"*"))</f>
        <v/>
      </c>
      <c r="L144">
        <f>IF($A144="","",COUNTIFS(Log!$A$2:$A$5000,$A144,Log!$F$2:$F$5000,"*→ "&amp;L$1&amp;"*"))</f>
        <v/>
      </c>
      <c r="M144">
        <f>IF($A144="","",COUNTIFS(Log!$A$2:$A$5000,$A144,Log!$F$2:$F$5000,"*→ "&amp;M$1&amp;"*"))</f>
        <v/>
      </c>
      <c r="N144">
        <f>IF($A144="","",COUNTIFS(Log!$A$2:$A$5000,$A144,Log!$F$2:$F$5000,"*→ "&amp;N$1&amp;"*"))</f>
        <v/>
      </c>
      <c r="O144">
        <f>IF($A144="","",COUNTIFS(Log!$A$2:$A$5000,$A144,Log!$F$2:$F$5000,"*→ "&amp;O$1&amp;"*"))</f>
        <v/>
      </c>
      <c r="P144">
        <f>IF($A144="","",COUNTIFS(Log!$A$2:$A$5000,$A144,Log!$F$2:$F$5000,"*→ "&amp;P$1&amp;"*"))</f>
        <v/>
      </c>
      <c r="Q144">
        <f>IF($A144="","",COUNTIFS(Log!$A$2:$A$5000,$A144,Log!$F$2:$F$5000,"*→ "&amp;Q$1&amp;"*"))</f>
        <v/>
      </c>
      <c r="R144">
        <f>IF($A144="","",COUNTIFS(Log!$A$2:$A$5000,$A144,Log!$F$2:$F$5000,"*→ "&amp;R$1&amp;"*"))</f>
        <v/>
      </c>
    </row>
    <row r="145">
      <c r="A145">
        <f>IF(Students!A145="","",Students!A145)</f>
        <v/>
      </c>
      <c r="B145">
        <f>IF($A145="","",COUNTIFS(Log!$A$2:$A$5000,$A145,Log!$F$2:$F$5000,"*→ "&amp;B$1&amp;"*"))</f>
        <v/>
      </c>
      <c r="C145">
        <f>IF($A145="","",COUNTIFS(Log!$A$2:$A$5000,$A145,Log!$F$2:$F$5000,"*→ "&amp;C$1&amp;"*"))</f>
        <v/>
      </c>
      <c r="D145">
        <f>IF($A145="","",COUNTIFS(Log!$A$2:$A$5000,$A145,Log!$F$2:$F$5000,"*→ "&amp;D$1&amp;"*"))</f>
        <v/>
      </c>
      <c r="E145">
        <f>IF($A145="","",COUNTIFS(Log!$A$2:$A$5000,$A145,Log!$F$2:$F$5000,"*→ "&amp;E$1&amp;"*"))</f>
        <v/>
      </c>
      <c r="F145">
        <f>IF($A145="","",COUNTIFS(Log!$A$2:$A$5000,$A145,Log!$F$2:$F$5000,"*→ "&amp;F$1&amp;"*"))</f>
        <v/>
      </c>
      <c r="G145">
        <f>IF($A145="","",COUNTIFS(Log!$A$2:$A$5000,$A145,Log!$F$2:$F$5000,"*→ "&amp;G$1&amp;"*"))</f>
        <v/>
      </c>
      <c r="H145">
        <f>IF($A145="","",COUNTIFS(Log!$A$2:$A$5000,$A145,Log!$F$2:$F$5000,"*→ "&amp;H$1&amp;"*"))</f>
        <v/>
      </c>
      <c r="I145">
        <f>IF($A145="","",COUNTIFS(Log!$A$2:$A$5000,$A145,Log!$F$2:$F$5000,"*→ "&amp;I$1&amp;"*"))</f>
        <v/>
      </c>
      <c r="J145">
        <f>IF($A145="","",COUNTIFS(Log!$A$2:$A$5000,$A145,Log!$F$2:$F$5000,"*→ "&amp;J$1&amp;"*"))</f>
        <v/>
      </c>
      <c r="K145">
        <f>IF($A145="","",COUNTIFS(Log!$A$2:$A$5000,$A145,Log!$F$2:$F$5000,"*→ "&amp;K$1&amp;"*"))</f>
        <v/>
      </c>
      <c r="L145">
        <f>IF($A145="","",COUNTIFS(Log!$A$2:$A$5000,$A145,Log!$F$2:$F$5000,"*→ "&amp;L$1&amp;"*"))</f>
        <v/>
      </c>
      <c r="M145">
        <f>IF($A145="","",COUNTIFS(Log!$A$2:$A$5000,$A145,Log!$F$2:$F$5000,"*→ "&amp;M$1&amp;"*"))</f>
        <v/>
      </c>
      <c r="N145">
        <f>IF($A145="","",COUNTIFS(Log!$A$2:$A$5000,$A145,Log!$F$2:$F$5000,"*→ "&amp;N$1&amp;"*"))</f>
        <v/>
      </c>
      <c r="O145">
        <f>IF($A145="","",COUNTIFS(Log!$A$2:$A$5000,$A145,Log!$F$2:$F$5000,"*→ "&amp;O$1&amp;"*"))</f>
        <v/>
      </c>
      <c r="P145">
        <f>IF($A145="","",COUNTIFS(Log!$A$2:$A$5000,$A145,Log!$F$2:$F$5000,"*→ "&amp;P$1&amp;"*"))</f>
        <v/>
      </c>
      <c r="Q145">
        <f>IF($A145="","",COUNTIFS(Log!$A$2:$A$5000,$A145,Log!$F$2:$F$5000,"*→ "&amp;Q$1&amp;"*"))</f>
        <v/>
      </c>
      <c r="R145">
        <f>IF($A145="","",COUNTIFS(Log!$A$2:$A$5000,$A145,Log!$F$2:$F$5000,"*→ "&amp;R$1&amp;"*"))</f>
        <v/>
      </c>
    </row>
    <row r="146">
      <c r="A146">
        <f>IF(Students!A146="","",Students!A146)</f>
        <v/>
      </c>
      <c r="B146">
        <f>IF($A146="","",COUNTIFS(Log!$A$2:$A$5000,$A146,Log!$F$2:$F$5000,"*→ "&amp;B$1&amp;"*"))</f>
        <v/>
      </c>
      <c r="C146">
        <f>IF($A146="","",COUNTIFS(Log!$A$2:$A$5000,$A146,Log!$F$2:$F$5000,"*→ "&amp;C$1&amp;"*"))</f>
        <v/>
      </c>
      <c r="D146">
        <f>IF($A146="","",COUNTIFS(Log!$A$2:$A$5000,$A146,Log!$F$2:$F$5000,"*→ "&amp;D$1&amp;"*"))</f>
        <v/>
      </c>
      <c r="E146">
        <f>IF($A146="","",COUNTIFS(Log!$A$2:$A$5000,$A146,Log!$F$2:$F$5000,"*→ "&amp;E$1&amp;"*"))</f>
        <v/>
      </c>
      <c r="F146">
        <f>IF($A146="","",COUNTIFS(Log!$A$2:$A$5000,$A146,Log!$F$2:$F$5000,"*→ "&amp;F$1&amp;"*"))</f>
        <v/>
      </c>
      <c r="G146">
        <f>IF($A146="","",COUNTIFS(Log!$A$2:$A$5000,$A146,Log!$F$2:$F$5000,"*→ "&amp;G$1&amp;"*"))</f>
        <v/>
      </c>
      <c r="H146">
        <f>IF($A146="","",COUNTIFS(Log!$A$2:$A$5000,$A146,Log!$F$2:$F$5000,"*→ "&amp;H$1&amp;"*"))</f>
        <v/>
      </c>
      <c r="I146">
        <f>IF($A146="","",COUNTIFS(Log!$A$2:$A$5000,$A146,Log!$F$2:$F$5000,"*→ "&amp;I$1&amp;"*"))</f>
        <v/>
      </c>
      <c r="J146">
        <f>IF($A146="","",COUNTIFS(Log!$A$2:$A$5000,$A146,Log!$F$2:$F$5000,"*→ "&amp;J$1&amp;"*"))</f>
        <v/>
      </c>
      <c r="K146">
        <f>IF($A146="","",COUNTIFS(Log!$A$2:$A$5000,$A146,Log!$F$2:$F$5000,"*→ "&amp;K$1&amp;"*"))</f>
        <v/>
      </c>
      <c r="L146">
        <f>IF($A146="","",COUNTIFS(Log!$A$2:$A$5000,$A146,Log!$F$2:$F$5000,"*→ "&amp;L$1&amp;"*"))</f>
        <v/>
      </c>
      <c r="M146">
        <f>IF($A146="","",COUNTIFS(Log!$A$2:$A$5000,$A146,Log!$F$2:$F$5000,"*→ "&amp;M$1&amp;"*"))</f>
        <v/>
      </c>
      <c r="N146">
        <f>IF($A146="","",COUNTIFS(Log!$A$2:$A$5000,$A146,Log!$F$2:$F$5000,"*→ "&amp;N$1&amp;"*"))</f>
        <v/>
      </c>
      <c r="O146">
        <f>IF($A146="","",COUNTIFS(Log!$A$2:$A$5000,$A146,Log!$F$2:$F$5000,"*→ "&amp;O$1&amp;"*"))</f>
        <v/>
      </c>
      <c r="P146">
        <f>IF($A146="","",COUNTIFS(Log!$A$2:$A$5000,$A146,Log!$F$2:$F$5000,"*→ "&amp;P$1&amp;"*"))</f>
        <v/>
      </c>
      <c r="Q146">
        <f>IF($A146="","",COUNTIFS(Log!$A$2:$A$5000,$A146,Log!$F$2:$F$5000,"*→ "&amp;Q$1&amp;"*"))</f>
        <v/>
      </c>
      <c r="R146">
        <f>IF($A146="","",COUNTIFS(Log!$A$2:$A$5000,$A146,Log!$F$2:$F$5000,"*→ "&amp;R$1&amp;"*"))</f>
        <v/>
      </c>
    </row>
    <row r="147">
      <c r="A147">
        <f>IF(Students!A147="","",Students!A147)</f>
        <v/>
      </c>
      <c r="B147">
        <f>IF($A147="","",COUNTIFS(Log!$A$2:$A$5000,$A147,Log!$F$2:$F$5000,"*→ "&amp;B$1&amp;"*"))</f>
        <v/>
      </c>
      <c r="C147">
        <f>IF($A147="","",COUNTIFS(Log!$A$2:$A$5000,$A147,Log!$F$2:$F$5000,"*→ "&amp;C$1&amp;"*"))</f>
        <v/>
      </c>
      <c r="D147">
        <f>IF($A147="","",COUNTIFS(Log!$A$2:$A$5000,$A147,Log!$F$2:$F$5000,"*→ "&amp;D$1&amp;"*"))</f>
        <v/>
      </c>
      <c r="E147">
        <f>IF($A147="","",COUNTIFS(Log!$A$2:$A$5000,$A147,Log!$F$2:$F$5000,"*→ "&amp;E$1&amp;"*"))</f>
        <v/>
      </c>
      <c r="F147">
        <f>IF($A147="","",COUNTIFS(Log!$A$2:$A$5000,$A147,Log!$F$2:$F$5000,"*→ "&amp;F$1&amp;"*"))</f>
        <v/>
      </c>
      <c r="G147">
        <f>IF($A147="","",COUNTIFS(Log!$A$2:$A$5000,$A147,Log!$F$2:$F$5000,"*→ "&amp;G$1&amp;"*"))</f>
        <v/>
      </c>
      <c r="H147">
        <f>IF($A147="","",COUNTIFS(Log!$A$2:$A$5000,$A147,Log!$F$2:$F$5000,"*→ "&amp;H$1&amp;"*"))</f>
        <v/>
      </c>
      <c r="I147">
        <f>IF($A147="","",COUNTIFS(Log!$A$2:$A$5000,$A147,Log!$F$2:$F$5000,"*→ "&amp;I$1&amp;"*"))</f>
        <v/>
      </c>
      <c r="J147">
        <f>IF($A147="","",COUNTIFS(Log!$A$2:$A$5000,$A147,Log!$F$2:$F$5000,"*→ "&amp;J$1&amp;"*"))</f>
        <v/>
      </c>
      <c r="K147">
        <f>IF($A147="","",COUNTIFS(Log!$A$2:$A$5000,$A147,Log!$F$2:$F$5000,"*→ "&amp;K$1&amp;"*"))</f>
        <v/>
      </c>
      <c r="L147">
        <f>IF($A147="","",COUNTIFS(Log!$A$2:$A$5000,$A147,Log!$F$2:$F$5000,"*→ "&amp;L$1&amp;"*"))</f>
        <v/>
      </c>
      <c r="M147">
        <f>IF($A147="","",COUNTIFS(Log!$A$2:$A$5000,$A147,Log!$F$2:$F$5000,"*→ "&amp;M$1&amp;"*"))</f>
        <v/>
      </c>
      <c r="N147">
        <f>IF($A147="","",COUNTIFS(Log!$A$2:$A$5000,$A147,Log!$F$2:$F$5000,"*→ "&amp;N$1&amp;"*"))</f>
        <v/>
      </c>
      <c r="O147">
        <f>IF($A147="","",COUNTIFS(Log!$A$2:$A$5000,$A147,Log!$F$2:$F$5000,"*→ "&amp;O$1&amp;"*"))</f>
        <v/>
      </c>
      <c r="P147">
        <f>IF($A147="","",COUNTIFS(Log!$A$2:$A$5000,$A147,Log!$F$2:$F$5000,"*→ "&amp;P$1&amp;"*"))</f>
        <v/>
      </c>
      <c r="Q147">
        <f>IF($A147="","",COUNTIFS(Log!$A$2:$A$5000,$A147,Log!$F$2:$F$5000,"*→ "&amp;Q$1&amp;"*"))</f>
        <v/>
      </c>
      <c r="R147">
        <f>IF($A147="","",COUNTIFS(Log!$A$2:$A$5000,$A147,Log!$F$2:$F$5000,"*→ "&amp;R$1&amp;"*"))</f>
        <v/>
      </c>
    </row>
    <row r="148">
      <c r="A148">
        <f>IF(Students!A148="","",Students!A148)</f>
        <v/>
      </c>
      <c r="B148">
        <f>IF($A148="","",COUNTIFS(Log!$A$2:$A$5000,$A148,Log!$F$2:$F$5000,"*→ "&amp;B$1&amp;"*"))</f>
        <v/>
      </c>
      <c r="C148">
        <f>IF($A148="","",COUNTIFS(Log!$A$2:$A$5000,$A148,Log!$F$2:$F$5000,"*→ "&amp;C$1&amp;"*"))</f>
        <v/>
      </c>
      <c r="D148">
        <f>IF($A148="","",COUNTIFS(Log!$A$2:$A$5000,$A148,Log!$F$2:$F$5000,"*→ "&amp;D$1&amp;"*"))</f>
        <v/>
      </c>
      <c r="E148">
        <f>IF($A148="","",COUNTIFS(Log!$A$2:$A$5000,$A148,Log!$F$2:$F$5000,"*→ "&amp;E$1&amp;"*"))</f>
        <v/>
      </c>
      <c r="F148">
        <f>IF($A148="","",COUNTIFS(Log!$A$2:$A$5000,$A148,Log!$F$2:$F$5000,"*→ "&amp;F$1&amp;"*"))</f>
        <v/>
      </c>
      <c r="G148">
        <f>IF($A148="","",COUNTIFS(Log!$A$2:$A$5000,$A148,Log!$F$2:$F$5000,"*→ "&amp;G$1&amp;"*"))</f>
        <v/>
      </c>
      <c r="H148">
        <f>IF($A148="","",COUNTIFS(Log!$A$2:$A$5000,$A148,Log!$F$2:$F$5000,"*→ "&amp;H$1&amp;"*"))</f>
        <v/>
      </c>
      <c r="I148">
        <f>IF($A148="","",COUNTIFS(Log!$A$2:$A$5000,$A148,Log!$F$2:$F$5000,"*→ "&amp;I$1&amp;"*"))</f>
        <v/>
      </c>
      <c r="J148">
        <f>IF($A148="","",COUNTIFS(Log!$A$2:$A$5000,$A148,Log!$F$2:$F$5000,"*→ "&amp;J$1&amp;"*"))</f>
        <v/>
      </c>
      <c r="K148">
        <f>IF($A148="","",COUNTIFS(Log!$A$2:$A$5000,$A148,Log!$F$2:$F$5000,"*→ "&amp;K$1&amp;"*"))</f>
        <v/>
      </c>
      <c r="L148">
        <f>IF($A148="","",COUNTIFS(Log!$A$2:$A$5000,$A148,Log!$F$2:$F$5000,"*→ "&amp;L$1&amp;"*"))</f>
        <v/>
      </c>
      <c r="M148">
        <f>IF($A148="","",COUNTIFS(Log!$A$2:$A$5000,$A148,Log!$F$2:$F$5000,"*→ "&amp;M$1&amp;"*"))</f>
        <v/>
      </c>
      <c r="N148">
        <f>IF($A148="","",COUNTIFS(Log!$A$2:$A$5000,$A148,Log!$F$2:$F$5000,"*→ "&amp;N$1&amp;"*"))</f>
        <v/>
      </c>
      <c r="O148">
        <f>IF($A148="","",COUNTIFS(Log!$A$2:$A$5000,$A148,Log!$F$2:$F$5000,"*→ "&amp;O$1&amp;"*"))</f>
        <v/>
      </c>
      <c r="P148">
        <f>IF($A148="","",COUNTIFS(Log!$A$2:$A$5000,$A148,Log!$F$2:$F$5000,"*→ "&amp;P$1&amp;"*"))</f>
        <v/>
      </c>
      <c r="Q148">
        <f>IF($A148="","",COUNTIFS(Log!$A$2:$A$5000,$A148,Log!$F$2:$F$5000,"*→ "&amp;Q$1&amp;"*"))</f>
        <v/>
      </c>
      <c r="R148">
        <f>IF($A148="","",COUNTIFS(Log!$A$2:$A$5000,$A148,Log!$F$2:$F$5000,"*→ "&amp;R$1&amp;"*"))</f>
        <v/>
      </c>
    </row>
    <row r="149">
      <c r="A149">
        <f>IF(Students!A149="","",Students!A149)</f>
        <v/>
      </c>
      <c r="B149">
        <f>IF($A149="","",COUNTIFS(Log!$A$2:$A$5000,$A149,Log!$F$2:$F$5000,"*→ "&amp;B$1&amp;"*"))</f>
        <v/>
      </c>
      <c r="C149">
        <f>IF($A149="","",COUNTIFS(Log!$A$2:$A$5000,$A149,Log!$F$2:$F$5000,"*→ "&amp;C$1&amp;"*"))</f>
        <v/>
      </c>
      <c r="D149">
        <f>IF($A149="","",COUNTIFS(Log!$A$2:$A$5000,$A149,Log!$F$2:$F$5000,"*→ "&amp;D$1&amp;"*"))</f>
        <v/>
      </c>
      <c r="E149">
        <f>IF($A149="","",COUNTIFS(Log!$A$2:$A$5000,$A149,Log!$F$2:$F$5000,"*→ "&amp;E$1&amp;"*"))</f>
        <v/>
      </c>
      <c r="F149">
        <f>IF($A149="","",COUNTIFS(Log!$A$2:$A$5000,$A149,Log!$F$2:$F$5000,"*→ "&amp;F$1&amp;"*"))</f>
        <v/>
      </c>
      <c r="G149">
        <f>IF($A149="","",COUNTIFS(Log!$A$2:$A$5000,$A149,Log!$F$2:$F$5000,"*→ "&amp;G$1&amp;"*"))</f>
        <v/>
      </c>
      <c r="H149">
        <f>IF($A149="","",COUNTIFS(Log!$A$2:$A$5000,$A149,Log!$F$2:$F$5000,"*→ "&amp;H$1&amp;"*"))</f>
        <v/>
      </c>
      <c r="I149">
        <f>IF($A149="","",COUNTIFS(Log!$A$2:$A$5000,$A149,Log!$F$2:$F$5000,"*→ "&amp;I$1&amp;"*"))</f>
        <v/>
      </c>
      <c r="J149">
        <f>IF($A149="","",COUNTIFS(Log!$A$2:$A$5000,$A149,Log!$F$2:$F$5000,"*→ "&amp;J$1&amp;"*"))</f>
        <v/>
      </c>
      <c r="K149">
        <f>IF($A149="","",COUNTIFS(Log!$A$2:$A$5000,$A149,Log!$F$2:$F$5000,"*→ "&amp;K$1&amp;"*"))</f>
        <v/>
      </c>
      <c r="L149">
        <f>IF($A149="","",COUNTIFS(Log!$A$2:$A$5000,$A149,Log!$F$2:$F$5000,"*→ "&amp;L$1&amp;"*"))</f>
        <v/>
      </c>
      <c r="M149">
        <f>IF($A149="","",COUNTIFS(Log!$A$2:$A$5000,$A149,Log!$F$2:$F$5000,"*→ "&amp;M$1&amp;"*"))</f>
        <v/>
      </c>
      <c r="N149">
        <f>IF($A149="","",COUNTIFS(Log!$A$2:$A$5000,$A149,Log!$F$2:$F$5000,"*→ "&amp;N$1&amp;"*"))</f>
        <v/>
      </c>
      <c r="O149">
        <f>IF($A149="","",COUNTIFS(Log!$A$2:$A$5000,$A149,Log!$F$2:$F$5000,"*→ "&amp;O$1&amp;"*"))</f>
        <v/>
      </c>
      <c r="P149">
        <f>IF($A149="","",COUNTIFS(Log!$A$2:$A$5000,$A149,Log!$F$2:$F$5000,"*→ "&amp;P$1&amp;"*"))</f>
        <v/>
      </c>
      <c r="Q149">
        <f>IF($A149="","",COUNTIFS(Log!$A$2:$A$5000,$A149,Log!$F$2:$F$5000,"*→ "&amp;Q$1&amp;"*"))</f>
        <v/>
      </c>
      <c r="R149">
        <f>IF($A149="","",COUNTIFS(Log!$A$2:$A$5000,$A149,Log!$F$2:$F$5000,"*→ "&amp;R$1&amp;"*"))</f>
        <v/>
      </c>
    </row>
    <row r="150">
      <c r="A150">
        <f>IF(Students!A150="","",Students!A150)</f>
        <v/>
      </c>
      <c r="B150">
        <f>IF($A150="","",COUNTIFS(Log!$A$2:$A$5000,$A150,Log!$F$2:$F$5000,"*→ "&amp;B$1&amp;"*"))</f>
        <v/>
      </c>
      <c r="C150">
        <f>IF($A150="","",COUNTIFS(Log!$A$2:$A$5000,$A150,Log!$F$2:$F$5000,"*→ "&amp;C$1&amp;"*"))</f>
        <v/>
      </c>
      <c r="D150">
        <f>IF($A150="","",COUNTIFS(Log!$A$2:$A$5000,$A150,Log!$F$2:$F$5000,"*→ "&amp;D$1&amp;"*"))</f>
        <v/>
      </c>
      <c r="E150">
        <f>IF($A150="","",COUNTIFS(Log!$A$2:$A$5000,$A150,Log!$F$2:$F$5000,"*→ "&amp;E$1&amp;"*"))</f>
        <v/>
      </c>
      <c r="F150">
        <f>IF($A150="","",COUNTIFS(Log!$A$2:$A$5000,$A150,Log!$F$2:$F$5000,"*→ "&amp;F$1&amp;"*"))</f>
        <v/>
      </c>
      <c r="G150">
        <f>IF($A150="","",COUNTIFS(Log!$A$2:$A$5000,$A150,Log!$F$2:$F$5000,"*→ "&amp;G$1&amp;"*"))</f>
        <v/>
      </c>
      <c r="H150">
        <f>IF($A150="","",COUNTIFS(Log!$A$2:$A$5000,$A150,Log!$F$2:$F$5000,"*→ "&amp;H$1&amp;"*"))</f>
        <v/>
      </c>
      <c r="I150">
        <f>IF($A150="","",COUNTIFS(Log!$A$2:$A$5000,$A150,Log!$F$2:$F$5000,"*→ "&amp;I$1&amp;"*"))</f>
        <v/>
      </c>
      <c r="J150">
        <f>IF($A150="","",COUNTIFS(Log!$A$2:$A$5000,$A150,Log!$F$2:$F$5000,"*→ "&amp;J$1&amp;"*"))</f>
        <v/>
      </c>
      <c r="K150">
        <f>IF($A150="","",COUNTIFS(Log!$A$2:$A$5000,$A150,Log!$F$2:$F$5000,"*→ "&amp;K$1&amp;"*"))</f>
        <v/>
      </c>
      <c r="L150">
        <f>IF($A150="","",COUNTIFS(Log!$A$2:$A$5000,$A150,Log!$F$2:$F$5000,"*→ "&amp;L$1&amp;"*"))</f>
        <v/>
      </c>
      <c r="M150">
        <f>IF($A150="","",COUNTIFS(Log!$A$2:$A$5000,$A150,Log!$F$2:$F$5000,"*→ "&amp;M$1&amp;"*"))</f>
        <v/>
      </c>
      <c r="N150">
        <f>IF($A150="","",COUNTIFS(Log!$A$2:$A$5000,$A150,Log!$F$2:$F$5000,"*→ "&amp;N$1&amp;"*"))</f>
        <v/>
      </c>
      <c r="O150">
        <f>IF($A150="","",COUNTIFS(Log!$A$2:$A$5000,$A150,Log!$F$2:$F$5000,"*→ "&amp;O$1&amp;"*"))</f>
        <v/>
      </c>
      <c r="P150">
        <f>IF($A150="","",COUNTIFS(Log!$A$2:$A$5000,$A150,Log!$F$2:$F$5000,"*→ "&amp;P$1&amp;"*"))</f>
        <v/>
      </c>
      <c r="Q150">
        <f>IF($A150="","",COUNTIFS(Log!$A$2:$A$5000,$A150,Log!$F$2:$F$5000,"*→ "&amp;Q$1&amp;"*"))</f>
        <v/>
      </c>
      <c r="R150">
        <f>IF($A150="","",COUNTIFS(Log!$A$2:$A$5000,$A150,Log!$F$2:$F$5000,"*→ "&amp;R$1&amp;"*"))</f>
        <v/>
      </c>
    </row>
    <row r="151">
      <c r="A151">
        <f>IF(Students!A151="","",Students!A151)</f>
        <v/>
      </c>
      <c r="B151">
        <f>IF($A151="","",COUNTIFS(Log!$A$2:$A$5000,$A151,Log!$F$2:$F$5000,"*→ "&amp;B$1&amp;"*"))</f>
        <v/>
      </c>
      <c r="C151">
        <f>IF($A151="","",COUNTIFS(Log!$A$2:$A$5000,$A151,Log!$F$2:$F$5000,"*→ "&amp;C$1&amp;"*"))</f>
        <v/>
      </c>
      <c r="D151">
        <f>IF($A151="","",COUNTIFS(Log!$A$2:$A$5000,$A151,Log!$F$2:$F$5000,"*→ "&amp;D$1&amp;"*"))</f>
        <v/>
      </c>
      <c r="E151">
        <f>IF($A151="","",COUNTIFS(Log!$A$2:$A$5000,$A151,Log!$F$2:$F$5000,"*→ "&amp;E$1&amp;"*"))</f>
        <v/>
      </c>
      <c r="F151">
        <f>IF($A151="","",COUNTIFS(Log!$A$2:$A$5000,$A151,Log!$F$2:$F$5000,"*→ "&amp;F$1&amp;"*"))</f>
        <v/>
      </c>
      <c r="G151">
        <f>IF($A151="","",COUNTIFS(Log!$A$2:$A$5000,$A151,Log!$F$2:$F$5000,"*→ "&amp;G$1&amp;"*"))</f>
        <v/>
      </c>
      <c r="H151">
        <f>IF($A151="","",COUNTIFS(Log!$A$2:$A$5000,$A151,Log!$F$2:$F$5000,"*→ "&amp;H$1&amp;"*"))</f>
        <v/>
      </c>
      <c r="I151">
        <f>IF($A151="","",COUNTIFS(Log!$A$2:$A$5000,$A151,Log!$F$2:$F$5000,"*→ "&amp;I$1&amp;"*"))</f>
        <v/>
      </c>
      <c r="J151">
        <f>IF($A151="","",COUNTIFS(Log!$A$2:$A$5000,$A151,Log!$F$2:$F$5000,"*→ "&amp;J$1&amp;"*"))</f>
        <v/>
      </c>
      <c r="K151">
        <f>IF($A151="","",COUNTIFS(Log!$A$2:$A$5000,$A151,Log!$F$2:$F$5000,"*→ "&amp;K$1&amp;"*"))</f>
        <v/>
      </c>
      <c r="L151">
        <f>IF($A151="","",COUNTIFS(Log!$A$2:$A$5000,$A151,Log!$F$2:$F$5000,"*→ "&amp;L$1&amp;"*"))</f>
        <v/>
      </c>
      <c r="M151">
        <f>IF($A151="","",COUNTIFS(Log!$A$2:$A$5000,$A151,Log!$F$2:$F$5000,"*→ "&amp;M$1&amp;"*"))</f>
        <v/>
      </c>
      <c r="N151">
        <f>IF($A151="","",COUNTIFS(Log!$A$2:$A$5000,$A151,Log!$F$2:$F$5000,"*→ "&amp;N$1&amp;"*"))</f>
        <v/>
      </c>
      <c r="O151">
        <f>IF($A151="","",COUNTIFS(Log!$A$2:$A$5000,$A151,Log!$F$2:$F$5000,"*→ "&amp;O$1&amp;"*"))</f>
        <v/>
      </c>
      <c r="P151">
        <f>IF($A151="","",COUNTIFS(Log!$A$2:$A$5000,$A151,Log!$F$2:$F$5000,"*→ "&amp;P$1&amp;"*"))</f>
        <v/>
      </c>
      <c r="Q151">
        <f>IF($A151="","",COUNTIFS(Log!$A$2:$A$5000,$A151,Log!$F$2:$F$5000,"*→ "&amp;Q$1&amp;"*"))</f>
        <v/>
      </c>
      <c r="R151">
        <f>IF($A151="","",COUNTIFS(Log!$A$2:$A$5000,$A151,Log!$F$2:$F$5000,"*→ "&amp;R$1&amp;"*"))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2026-10-04T20:24:48Z</dcterms:created>
  <dcterms:modified xsi:type="dcterms:W3CDTF">2026-10-04T20:24:48Z</dcterms:modified>
</cp:coreProperties>
</file>